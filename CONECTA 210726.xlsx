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faelluis/Desktop/COMPRAS/CONECTA/CONECTA 21:07:"/>
    </mc:Choice>
  </mc:AlternateContent>
  <xr:revisionPtr revIDLastSave="0" documentId="13_ncr:1_{59F04226-60DE-D547-9139-BE28D7DFB188}" xr6:coauthVersionLast="47" xr6:coauthVersionMax="47" xr10:uidLastSave="{00000000-0000-0000-0000-000000000000}"/>
  <bookViews>
    <workbookView xWindow="0" yWindow="760" windowWidth="28800" windowHeight="15440" xr2:uid="{00000000-000D-0000-FFFF-FFFF00000000}"/>
  </bookViews>
  <sheets>
    <sheet name="ALS 10 BAZAR" sheetId="2" r:id="rId1"/>
    <sheet name="LIMITE DE PRECO" sheetId="9" r:id="rId2"/>
    <sheet name="SEPARACAO" sheetId="10" r:id="rId3"/>
    <sheet name="CALCULADORA" sheetId="11" r:id="rId4"/>
  </sheets>
  <externalReferences>
    <externalReference r:id="rId5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0" l="1"/>
  <c r="H45" i="10"/>
  <c r="H87" i="10"/>
  <c r="H93" i="10"/>
  <c r="H101" i="10"/>
  <c r="H134" i="10"/>
  <c r="H141" i="10"/>
  <c r="H161" i="10"/>
  <c r="H165" i="10"/>
  <c r="H166" i="10"/>
  <c r="H167" i="10"/>
  <c r="H168" i="10"/>
  <c r="H169" i="10"/>
  <c r="H170" i="10"/>
  <c r="H171" i="10"/>
  <c r="G13" i="10"/>
  <c r="H13" i="10" s="1"/>
  <c r="G14" i="10"/>
  <c r="H14" i="10" s="1"/>
  <c r="G15" i="10"/>
  <c r="H15" i="10" s="1"/>
  <c r="G16" i="10"/>
  <c r="H16" i="10" s="1"/>
  <c r="G17" i="10"/>
  <c r="H17" i="10" s="1"/>
  <c r="G18" i="10"/>
  <c r="H18" i="10" s="1"/>
  <c r="G19" i="10"/>
  <c r="H19" i="10" s="1"/>
  <c r="G20" i="10"/>
  <c r="H20" i="10" s="1"/>
  <c r="G21" i="10"/>
  <c r="G22" i="10"/>
  <c r="H22" i="10" s="1"/>
  <c r="G23" i="10"/>
  <c r="H23" i="10" s="1"/>
  <c r="G24" i="10"/>
  <c r="H24" i="10" s="1"/>
  <c r="G25" i="10"/>
  <c r="H25" i="10" s="1"/>
  <c r="G26" i="10"/>
  <c r="H26" i="10" s="1"/>
  <c r="G27" i="10"/>
  <c r="H27" i="10" s="1"/>
  <c r="G28" i="10"/>
  <c r="H28" i="10" s="1"/>
  <c r="G29" i="10"/>
  <c r="H29" i="10" s="1"/>
  <c r="G30" i="10"/>
  <c r="H30" i="10" s="1"/>
  <c r="G31" i="10"/>
  <c r="H31" i="10" s="1"/>
  <c r="G32" i="10"/>
  <c r="H32" i="10" s="1"/>
  <c r="G33" i="10"/>
  <c r="H33" i="10" s="1"/>
  <c r="G34" i="10"/>
  <c r="H34" i="10" s="1"/>
  <c r="G35" i="10"/>
  <c r="H35" i="10" s="1"/>
  <c r="G36" i="10"/>
  <c r="H36" i="10" s="1"/>
  <c r="G37" i="10"/>
  <c r="H37" i="10" s="1"/>
  <c r="G38" i="10"/>
  <c r="H38" i="10" s="1"/>
  <c r="G39" i="10"/>
  <c r="H39" i="10" s="1"/>
  <c r="G40" i="10"/>
  <c r="H40" i="10" s="1"/>
  <c r="G41" i="10"/>
  <c r="H41" i="10" s="1"/>
  <c r="G42" i="10"/>
  <c r="H42" i="10" s="1"/>
  <c r="G43" i="10"/>
  <c r="H43" i="10" s="1"/>
  <c r="G44" i="10"/>
  <c r="H44" i="10" s="1"/>
  <c r="G45" i="10"/>
  <c r="G46" i="10"/>
  <c r="H46" i="10" s="1"/>
  <c r="G47" i="10"/>
  <c r="H47" i="10" s="1"/>
  <c r="G48" i="10"/>
  <c r="H48" i="10" s="1"/>
  <c r="G49" i="10"/>
  <c r="H49" i="10" s="1"/>
  <c r="G50" i="10"/>
  <c r="H50" i="10" s="1"/>
  <c r="G51" i="10"/>
  <c r="H51" i="10" s="1"/>
  <c r="G52" i="10"/>
  <c r="H52" i="10" s="1"/>
  <c r="G53" i="10"/>
  <c r="H53" i="10" s="1"/>
  <c r="G54" i="10"/>
  <c r="H54" i="10" s="1"/>
  <c r="G55" i="10"/>
  <c r="H55" i="10" s="1"/>
  <c r="G56" i="10"/>
  <c r="H56" i="10" s="1"/>
  <c r="G57" i="10"/>
  <c r="H57" i="10" s="1"/>
  <c r="G58" i="10"/>
  <c r="H58" i="10" s="1"/>
  <c r="G59" i="10"/>
  <c r="H59" i="10" s="1"/>
  <c r="G60" i="10"/>
  <c r="H60" i="10" s="1"/>
  <c r="G61" i="10"/>
  <c r="H61" i="10" s="1"/>
  <c r="G62" i="10"/>
  <c r="H62" i="10" s="1"/>
  <c r="G63" i="10"/>
  <c r="H63" i="10" s="1"/>
  <c r="G64" i="10"/>
  <c r="H64" i="10" s="1"/>
  <c r="G65" i="10"/>
  <c r="H65" i="10" s="1"/>
  <c r="G66" i="10"/>
  <c r="H66" i="10" s="1"/>
  <c r="G67" i="10"/>
  <c r="H67" i="10" s="1"/>
  <c r="G68" i="10"/>
  <c r="H68" i="10" s="1"/>
  <c r="G69" i="10"/>
  <c r="H69" i="10" s="1"/>
  <c r="G70" i="10"/>
  <c r="H70" i="10" s="1"/>
  <c r="G71" i="10"/>
  <c r="H71" i="10" s="1"/>
  <c r="G72" i="10"/>
  <c r="H72" i="10" s="1"/>
  <c r="G73" i="10"/>
  <c r="H73" i="10" s="1"/>
  <c r="G74" i="10"/>
  <c r="H74" i="10" s="1"/>
  <c r="G75" i="10"/>
  <c r="H75" i="10" s="1"/>
  <c r="G76" i="10"/>
  <c r="H76" i="10" s="1"/>
  <c r="G77" i="10"/>
  <c r="H77" i="10" s="1"/>
  <c r="G78" i="10"/>
  <c r="H78" i="10" s="1"/>
  <c r="G79" i="10"/>
  <c r="H79" i="10" s="1"/>
  <c r="G80" i="10"/>
  <c r="H80" i="10" s="1"/>
  <c r="G81" i="10"/>
  <c r="H81" i="10" s="1"/>
  <c r="G82" i="10"/>
  <c r="H82" i="10" s="1"/>
  <c r="G83" i="10"/>
  <c r="H83" i="10" s="1"/>
  <c r="G84" i="10"/>
  <c r="H84" i="10" s="1"/>
  <c r="G85" i="10"/>
  <c r="H85" i="10" s="1"/>
  <c r="G86" i="10"/>
  <c r="H86" i="10" s="1"/>
  <c r="G87" i="10"/>
  <c r="G88" i="10"/>
  <c r="H88" i="10" s="1"/>
  <c r="G89" i="10"/>
  <c r="H89" i="10" s="1"/>
  <c r="G90" i="10"/>
  <c r="H90" i="10" s="1"/>
  <c r="G91" i="10"/>
  <c r="H91" i="10" s="1"/>
  <c r="G92" i="10"/>
  <c r="H92" i="10" s="1"/>
  <c r="G93" i="10"/>
  <c r="G94" i="10"/>
  <c r="H94" i="10" s="1"/>
  <c r="G95" i="10"/>
  <c r="H95" i="10" s="1"/>
  <c r="G96" i="10"/>
  <c r="H96" i="10" s="1"/>
  <c r="G97" i="10"/>
  <c r="H97" i="10" s="1"/>
  <c r="G98" i="10"/>
  <c r="H98" i="10" s="1"/>
  <c r="G99" i="10"/>
  <c r="H99" i="10" s="1"/>
  <c r="G100" i="10"/>
  <c r="H100" i="10" s="1"/>
  <c r="G101" i="10"/>
  <c r="G102" i="10"/>
  <c r="H102" i="10" s="1"/>
  <c r="G103" i="10"/>
  <c r="H103" i="10" s="1"/>
  <c r="G104" i="10"/>
  <c r="H104" i="10" s="1"/>
  <c r="G105" i="10"/>
  <c r="H105" i="10" s="1"/>
  <c r="G106" i="10"/>
  <c r="H106" i="10" s="1"/>
  <c r="G107" i="10"/>
  <c r="H107" i="10" s="1"/>
  <c r="G108" i="10"/>
  <c r="H108" i="10" s="1"/>
  <c r="G109" i="10"/>
  <c r="H109" i="10" s="1"/>
  <c r="G110" i="10"/>
  <c r="H110" i="10" s="1"/>
  <c r="G111" i="10"/>
  <c r="H111" i="10" s="1"/>
  <c r="G112" i="10"/>
  <c r="H112" i="10" s="1"/>
  <c r="G113" i="10"/>
  <c r="H113" i="10" s="1"/>
  <c r="G114" i="10"/>
  <c r="H114" i="10" s="1"/>
  <c r="G115" i="10"/>
  <c r="H115" i="10" s="1"/>
  <c r="G116" i="10"/>
  <c r="H116" i="10" s="1"/>
  <c r="G117" i="10"/>
  <c r="H117" i="10" s="1"/>
  <c r="G118" i="10"/>
  <c r="H118" i="10" s="1"/>
  <c r="G119" i="10"/>
  <c r="H119" i="10" s="1"/>
  <c r="G120" i="10"/>
  <c r="H120" i="10" s="1"/>
  <c r="G121" i="10"/>
  <c r="H121" i="10" s="1"/>
  <c r="G122" i="10"/>
  <c r="H122" i="10" s="1"/>
  <c r="G123" i="10"/>
  <c r="H123" i="10" s="1"/>
  <c r="G124" i="10"/>
  <c r="H124" i="10" s="1"/>
  <c r="G125" i="10"/>
  <c r="H125" i="10" s="1"/>
  <c r="G126" i="10"/>
  <c r="H126" i="10" s="1"/>
  <c r="G127" i="10"/>
  <c r="H127" i="10" s="1"/>
  <c r="G128" i="10"/>
  <c r="H128" i="10" s="1"/>
  <c r="G129" i="10"/>
  <c r="H129" i="10" s="1"/>
  <c r="G130" i="10"/>
  <c r="H130" i="10" s="1"/>
  <c r="G131" i="10"/>
  <c r="H131" i="10" s="1"/>
  <c r="G132" i="10"/>
  <c r="H132" i="10" s="1"/>
  <c r="G133" i="10"/>
  <c r="H133" i="10" s="1"/>
  <c r="G134" i="10"/>
  <c r="G135" i="10"/>
  <c r="H135" i="10" s="1"/>
  <c r="G136" i="10"/>
  <c r="H136" i="10" s="1"/>
  <c r="G137" i="10"/>
  <c r="H137" i="10" s="1"/>
  <c r="G138" i="10"/>
  <c r="H138" i="10" s="1"/>
  <c r="G139" i="10"/>
  <c r="H139" i="10" s="1"/>
  <c r="G140" i="10"/>
  <c r="H140" i="10" s="1"/>
  <c r="G141" i="10"/>
  <c r="G142" i="10"/>
  <c r="H142" i="10" s="1"/>
  <c r="G143" i="10"/>
  <c r="H143" i="10" s="1"/>
  <c r="G144" i="10"/>
  <c r="G145" i="10"/>
  <c r="H145" i="10" s="1"/>
  <c r="G146" i="10"/>
  <c r="H146" i="10" s="1"/>
  <c r="G147" i="10"/>
  <c r="H147" i="10" s="1"/>
  <c r="G148" i="10"/>
  <c r="H148" i="10" s="1"/>
  <c r="G149" i="10"/>
  <c r="H149" i="10" s="1"/>
  <c r="G150" i="10"/>
  <c r="H150" i="10" s="1"/>
  <c r="G151" i="10"/>
  <c r="H151" i="10" s="1"/>
  <c r="G152" i="10"/>
  <c r="H152" i="10" s="1"/>
  <c r="G153" i="10"/>
  <c r="H153" i="10" s="1"/>
  <c r="G154" i="10"/>
  <c r="H154" i="10" s="1"/>
  <c r="G155" i="10"/>
  <c r="H155" i="10" s="1"/>
  <c r="G156" i="10"/>
  <c r="H156" i="10" s="1"/>
  <c r="G157" i="10"/>
  <c r="H157" i="10" s="1"/>
  <c r="G158" i="10"/>
  <c r="G159" i="10"/>
  <c r="G160" i="10"/>
  <c r="G161" i="10"/>
  <c r="G162" i="10"/>
  <c r="H162" i="10" s="1"/>
  <c r="G163" i="10"/>
  <c r="G164" i="10"/>
  <c r="G165" i="10"/>
  <c r="G166" i="10"/>
  <c r="G167" i="10"/>
  <c r="G168" i="10"/>
  <c r="G169" i="10"/>
  <c r="G170" i="10"/>
  <c r="G171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H158" i="10" s="1"/>
  <c r="F159" i="10"/>
  <c r="H159" i="10" s="1"/>
  <c r="F160" i="10"/>
  <c r="H160" i="10" s="1"/>
  <c r="F161" i="10"/>
  <c r="F162" i="10"/>
  <c r="F163" i="10"/>
  <c r="F164" i="10"/>
  <c r="F165" i="10"/>
  <c r="F166" i="10"/>
  <c r="F167" i="10"/>
  <c r="F168" i="10"/>
  <c r="F169" i="10"/>
  <c r="F170" i="10"/>
  <c r="F171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I115" i="2"/>
  <c r="I114" i="2"/>
  <c r="I113" i="2"/>
  <c r="I112" i="2"/>
  <c r="I111" i="2"/>
  <c r="I110" i="2"/>
  <c r="I109" i="2"/>
  <c r="I108" i="2"/>
  <c r="I107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A112" i="2"/>
  <c r="A109" i="2"/>
  <c r="A108" i="2"/>
  <c r="A105" i="2"/>
  <c r="A104" i="2"/>
  <c r="A74" i="2"/>
  <c r="A73" i="2"/>
  <c r="A72" i="2"/>
  <c r="A71" i="2"/>
  <c r="A70" i="2"/>
  <c r="A69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H144" i="10" l="1"/>
  <c r="H164" i="10"/>
  <c r="H163" i="10"/>
  <c r="G10" i="10"/>
  <c r="H10" i="10" s="1"/>
  <c r="G11" i="10"/>
  <c r="G12" i="10"/>
  <c r="F10" i="10"/>
  <c r="F11" i="10"/>
  <c r="F12" i="10"/>
  <c r="F13" i="10"/>
  <c r="F14" i="10"/>
  <c r="B10" i="10"/>
  <c r="B11" i="10"/>
  <c r="B12" i="10"/>
  <c r="A10" i="10"/>
  <c r="A11" i="10"/>
  <c r="A12" i="10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J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J49" i="2" s="1"/>
  <c r="H50" i="2"/>
  <c r="J50" i="2" s="1"/>
  <c r="H51" i="2"/>
  <c r="J51" i="2" s="1"/>
  <c r="H52" i="2"/>
  <c r="J52" i="2" s="1"/>
  <c r="H53" i="2"/>
  <c r="J53" i="2" s="1"/>
  <c r="H54" i="2"/>
  <c r="J54" i="2" s="1"/>
  <c r="H55" i="2"/>
  <c r="J55" i="2" s="1"/>
  <c r="H56" i="2"/>
  <c r="J56" i="2" s="1"/>
  <c r="H57" i="2"/>
  <c r="J57" i="2" s="1"/>
  <c r="H58" i="2"/>
  <c r="J58" i="2" s="1"/>
  <c r="H59" i="2"/>
  <c r="J59" i="2" s="1"/>
  <c r="H60" i="2"/>
  <c r="J60" i="2" s="1"/>
  <c r="H61" i="2"/>
  <c r="J61" i="2" s="1"/>
  <c r="H62" i="2"/>
  <c r="J62" i="2" s="1"/>
  <c r="H63" i="2"/>
  <c r="J63" i="2" s="1"/>
  <c r="H64" i="2"/>
  <c r="J64" i="2" s="1"/>
  <c r="H65" i="2"/>
  <c r="J65" i="2" s="1"/>
  <c r="H66" i="2"/>
  <c r="J66" i="2" s="1"/>
  <c r="H67" i="2"/>
  <c r="J67" i="2" s="1"/>
  <c r="H68" i="2"/>
  <c r="J68" i="2" s="1"/>
  <c r="H69" i="2"/>
  <c r="J69" i="2" s="1"/>
  <c r="H70" i="2"/>
  <c r="J70" i="2" s="1"/>
  <c r="H71" i="2"/>
  <c r="J71" i="2" s="1"/>
  <c r="H72" i="2"/>
  <c r="J72" i="2" s="1"/>
  <c r="H73" i="2"/>
  <c r="J73" i="2" s="1"/>
  <c r="H74" i="2"/>
  <c r="J74" i="2" s="1"/>
  <c r="H75" i="2"/>
  <c r="J75" i="2" s="1"/>
  <c r="H76" i="2"/>
  <c r="J76" i="2" s="1"/>
  <c r="H77" i="2"/>
  <c r="J77" i="2" s="1"/>
  <c r="H78" i="2"/>
  <c r="J78" i="2" s="1"/>
  <c r="H79" i="2"/>
  <c r="J79" i="2" s="1"/>
  <c r="H80" i="2"/>
  <c r="J80" i="2" s="1"/>
  <c r="H116" i="2"/>
  <c r="J116" i="2" s="1"/>
  <c r="H117" i="2"/>
  <c r="J117" i="2" s="1"/>
  <c r="H118" i="2"/>
  <c r="J118" i="2" s="1"/>
  <c r="H119" i="2"/>
  <c r="J119" i="2" s="1"/>
  <c r="H120" i="2"/>
  <c r="J120" i="2" s="1"/>
  <c r="H121" i="2"/>
  <c r="J121" i="2" s="1"/>
  <c r="H122" i="2"/>
  <c r="J122" i="2" s="1"/>
  <c r="H123" i="2"/>
  <c r="J123" i="2" s="1"/>
  <c r="H124" i="2"/>
  <c r="J124" i="2" s="1"/>
  <c r="H125" i="2"/>
  <c r="J125" i="2" s="1"/>
  <c r="H126" i="2"/>
  <c r="J126" i="2" s="1"/>
  <c r="H127" i="2"/>
  <c r="J127" i="2" s="1"/>
  <c r="H128" i="2"/>
  <c r="J128" i="2" s="1"/>
  <c r="H129" i="2"/>
  <c r="J129" i="2" s="1"/>
  <c r="H130" i="2"/>
  <c r="J130" i="2" s="1"/>
  <c r="H131" i="2"/>
  <c r="J131" i="2" s="1"/>
  <c r="H132" i="2"/>
  <c r="J132" i="2" s="1"/>
  <c r="H133" i="2"/>
  <c r="J133" i="2" s="1"/>
  <c r="H134" i="2"/>
  <c r="J134" i="2" s="1"/>
  <c r="H135" i="2"/>
  <c r="J135" i="2" s="1"/>
  <c r="H136" i="2"/>
  <c r="J136" i="2" s="1"/>
  <c r="H137" i="2"/>
  <c r="J137" i="2" s="1"/>
  <c r="H138" i="2"/>
  <c r="J138" i="2" s="1"/>
  <c r="H139" i="2"/>
  <c r="J139" i="2" s="1"/>
  <c r="H140" i="2"/>
  <c r="J140" i="2" s="1"/>
  <c r="H141" i="2"/>
  <c r="J141" i="2" s="1"/>
  <c r="H12" i="10" l="1"/>
  <c r="H11" i="10"/>
  <c r="D5" i="11" l="1"/>
  <c r="D6" i="11" s="1"/>
  <c r="D8" i="11" s="1"/>
  <c r="C5" i="11"/>
  <c r="C6" i="11" s="1"/>
  <c r="C8" i="11" s="1"/>
  <c r="B5" i="11"/>
  <c r="B6" i="11" s="1"/>
  <c r="B8" i="11" l="1"/>
  <c r="M12" i="9"/>
  <c r="S8" i="9"/>
  <c r="K12" i="9" s="1"/>
  <c r="A172" i="10"/>
  <c r="A173" i="10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9" i="2"/>
  <c r="I68" i="9"/>
  <c r="G68" i="9"/>
  <c r="F68" i="9"/>
  <c r="B68" i="9"/>
  <c r="A68" i="9"/>
  <c r="B5" i="10"/>
  <c r="B4" i="10"/>
  <c r="B3" i="10"/>
  <c r="I5" i="10"/>
  <c r="I4" i="10"/>
  <c r="I3" i="10"/>
  <c r="I2" i="10"/>
  <c r="I7" i="10"/>
  <c r="G7" i="10"/>
  <c r="E7" i="10"/>
  <c r="C7" i="10"/>
  <c r="B9" i="10"/>
  <c r="G9" i="10"/>
  <c r="F9" i="10"/>
  <c r="A9" i="10"/>
  <c r="I3" i="9"/>
  <c r="I2" i="9"/>
  <c r="B5" i="9"/>
  <c r="E4" i="9"/>
  <c r="E3" i="9"/>
  <c r="B4" i="9"/>
  <c r="B3" i="9"/>
  <c r="I7" i="9"/>
  <c r="G7" i="9"/>
  <c r="E7" i="9"/>
  <c r="C7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9" i="9"/>
  <c r="B70" i="9"/>
  <c r="B71" i="9"/>
  <c r="B9" i="9"/>
  <c r="O12" i="9" l="1"/>
  <c r="H9" i="10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9" i="9"/>
  <c r="I70" i="9"/>
  <c r="I71" i="9"/>
  <c r="G10" i="9"/>
  <c r="G11" i="9"/>
  <c r="G12" i="9"/>
  <c r="G13" i="9"/>
  <c r="G14" i="9"/>
  <c r="G15" i="9"/>
  <c r="G16" i="9"/>
  <c r="G17" i="9"/>
  <c r="G18" i="9"/>
  <c r="G19" i="9"/>
  <c r="G20" i="9"/>
  <c r="H20" i="9" s="1"/>
  <c r="G21" i="9"/>
  <c r="H21" i="9" s="1"/>
  <c r="G22" i="9"/>
  <c r="G23" i="9"/>
  <c r="G24" i="9"/>
  <c r="G25" i="9"/>
  <c r="G26" i="9"/>
  <c r="G27" i="9"/>
  <c r="G28" i="9"/>
  <c r="H28" i="9" s="1"/>
  <c r="G29" i="9"/>
  <c r="H29" i="9" s="1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H44" i="9" s="1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H62" i="9" s="1"/>
  <c r="G63" i="9"/>
  <c r="G64" i="9"/>
  <c r="G65" i="9"/>
  <c r="G66" i="9"/>
  <c r="G67" i="9"/>
  <c r="G69" i="9"/>
  <c r="H69" i="9" s="1"/>
  <c r="G70" i="9"/>
  <c r="G71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H27" i="9" s="1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H68" i="9"/>
  <c r="J68" i="9" s="1"/>
  <c r="F69" i="9"/>
  <c r="F70" i="9"/>
  <c r="F71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9" i="9"/>
  <c r="A70" i="9"/>
  <c r="A71" i="9"/>
  <c r="I9" i="9"/>
  <c r="G9" i="9"/>
  <c r="F9" i="9"/>
  <c r="A9" i="9"/>
  <c r="H76" i="9"/>
  <c r="J76" i="9" s="1"/>
  <c r="H75" i="9"/>
  <c r="J75" i="9" s="1"/>
  <c r="H74" i="9"/>
  <c r="J74" i="9" s="1"/>
  <c r="H73" i="9"/>
  <c r="J73" i="9" s="1"/>
  <c r="H72" i="9"/>
  <c r="J72" i="9" s="1"/>
  <c r="H66" i="9" l="1"/>
  <c r="J66" i="9" s="1"/>
  <c r="H61" i="9"/>
  <c r="H59" i="9"/>
  <c r="J59" i="9" s="1"/>
  <c r="H58" i="9"/>
  <c r="J58" i="9" s="1"/>
  <c r="H46" i="9"/>
  <c r="H53" i="9"/>
  <c r="J53" i="9" s="1"/>
  <c r="H50" i="9"/>
  <c r="J50" i="9" s="1"/>
  <c r="H43" i="9"/>
  <c r="J43" i="9" s="1"/>
  <c r="H24" i="9"/>
  <c r="H54" i="9"/>
  <c r="J54" i="9" s="1"/>
  <c r="H51" i="9"/>
  <c r="J51" i="9" s="1"/>
  <c r="H64" i="9"/>
  <c r="J64" i="9" s="1"/>
  <c r="H56" i="9"/>
  <c r="J56" i="9" s="1"/>
  <c r="H48" i="9"/>
  <c r="J48" i="9" s="1"/>
  <c r="H40" i="9"/>
  <c r="J40" i="9" s="1"/>
  <c r="H32" i="9"/>
  <c r="J32" i="9" s="1"/>
  <c r="H16" i="9"/>
  <c r="J16" i="9" s="1"/>
  <c r="H47" i="9"/>
  <c r="J47" i="9" s="1"/>
  <c r="J28" i="9"/>
  <c r="J69" i="9"/>
  <c r="J20" i="9"/>
  <c r="H22" i="9"/>
  <c r="J22" i="9" s="1"/>
  <c r="H42" i="9"/>
  <c r="J42" i="9" s="1"/>
  <c r="H34" i="9"/>
  <c r="J34" i="9" s="1"/>
  <c r="H26" i="9"/>
  <c r="J26" i="9" s="1"/>
  <c r="H18" i="9"/>
  <c r="J18" i="9" s="1"/>
  <c r="J44" i="9"/>
  <c r="H55" i="9"/>
  <c r="J55" i="9" s="1"/>
  <c r="H60" i="9"/>
  <c r="J60" i="9" s="1"/>
  <c r="H65" i="9"/>
  <c r="J65" i="9" s="1"/>
  <c r="H57" i="9"/>
  <c r="J57" i="9" s="1"/>
  <c r="H49" i="9"/>
  <c r="J49" i="9" s="1"/>
  <c r="H52" i="9"/>
  <c r="J52" i="9" s="1"/>
  <c r="H67" i="9"/>
  <c r="J67" i="9" s="1"/>
  <c r="H41" i="9"/>
  <c r="J41" i="9" s="1"/>
  <c r="H33" i="9"/>
  <c r="J33" i="9" s="1"/>
  <c r="H25" i="9"/>
  <c r="J25" i="9" s="1"/>
  <c r="H19" i="9"/>
  <c r="J19" i="9" s="1"/>
  <c r="H37" i="9"/>
  <c r="J37" i="9" s="1"/>
  <c r="H14" i="9"/>
  <c r="J14" i="9" s="1"/>
  <c r="H17" i="9"/>
  <c r="J17" i="9" s="1"/>
  <c r="H36" i="9"/>
  <c r="J36" i="9" s="1"/>
  <c r="H35" i="9"/>
  <c r="J35" i="9" s="1"/>
  <c r="H11" i="9"/>
  <c r="J11" i="9" s="1"/>
  <c r="H12" i="9"/>
  <c r="J12" i="9" s="1"/>
  <c r="J27" i="9"/>
  <c r="H71" i="9"/>
  <c r="J71" i="9" s="1"/>
  <c r="H39" i="9"/>
  <c r="J39" i="9" s="1"/>
  <c r="H23" i="9"/>
  <c r="J23" i="9" s="1"/>
  <c r="H15" i="9"/>
  <c r="J15" i="9" s="1"/>
  <c r="H30" i="9"/>
  <c r="J30" i="9" s="1"/>
  <c r="G77" i="9"/>
  <c r="H9" i="9"/>
  <c r="H10" i="9"/>
  <c r="J10" i="9" s="1"/>
  <c r="J21" i="9"/>
  <c r="J46" i="9"/>
  <c r="J24" i="9"/>
  <c r="J61" i="9"/>
  <c r="J29" i="9"/>
  <c r="J62" i="9"/>
  <c r="H70" i="9"/>
  <c r="J70" i="9" s="1"/>
  <c r="H38" i="9"/>
  <c r="J38" i="9" s="1"/>
  <c r="H31" i="9"/>
  <c r="J31" i="9" s="1"/>
  <c r="H45" i="9"/>
  <c r="J45" i="9" s="1"/>
  <c r="H13" i="9"/>
  <c r="J13" i="9" s="1"/>
  <c r="H63" i="9"/>
  <c r="J63" i="9" s="1"/>
  <c r="H147" i="2"/>
  <c r="J147" i="2" s="1"/>
  <c r="H148" i="2"/>
  <c r="J148" i="2" s="1"/>
  <c r="H149" i="2"/>
  <c r="J149" i="2" s="1"/>
  <c r="H150" i="2"/>
  <c r="J150" i="2" s="1"/>
  <c r="H151" i="2"/>
  <c r="J151" i="2" s="1"/>
  <c r="H152" i="2"/>
  <c r="J152" i="2" s="1"/>
  <c r="H153" i="2"/>
  <c r="J153" i="2" s="1"/>
  <c r="H154" i="2"/>
  <c r="J154" i="2" s="1"/>
  <c r="H155" i="2"/>
  <c r="J155" i="2" s="1"/>
  <c r="H156" i="2"/>
  <c r="J156" i="2" s="1"/>
  <c r="H157" i="2"/>
  <c r="J157" i="2" s="1"/>
  <c r="H77" i="9" l="1"/>
  <c r="J78" i="9" s="1"/>
  <c r="J9" i="9"/>
  <c r="G173" i="2"/>
  <c r="J77" i="9" l="1"/>
  <c r="I78" i="9"/>
  <c r="H172" i="2"/>
  <c r="J172" i="2" s="1"/>
  <c r="J9" i="2"/>
  <c r="H170" i="2"/>
  <c r="J170" i="2" s="1"/>
  <c r="H171" i="2"/>
  <c r="J171" i="2" s="1"/>
  <c r="H169" i="2"/>
  <c r="J169" i="2" s="1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H142" i="2"/>
  <c r="J142" i="2" s="1"/>
  <c r="H143" i="2"/>
  <c r="J143" i="2" s="1"/>
  <c r="H144" i="2"/>
  <c r="J144" i="2" s="1"/>
  <c r="H145" i="2"/>
  <c r="J145" i="2" s="1"/>
  <c r="H146" i="2"/>
  <c r="J146" i="2" s="1"/>
  <c r="H158" i="2"/>
  <c r="J158" i="2" s="1"/>
  <c r="H159" i="2"/>
  <c r="J159" i="2" s="1"/>
  <c r="H160" i="2"/>
  <c r="J160" i="2" s="1"/>
  <c r="H161" i="2"/>
  <c r="J161" i="2" s="1"/>
  <c r="H162" i="2"/>
  <c r="J162" i="2" s="1"/>
  <c r="H163" i="2"/>
  <c r="J163" i="2" s="1"/>
  <c r="H164" i="2"/>
  <c r="J164" i="2" s="1"/>
  <c r="H165" i="2"/>
  <c r="J165" i="2" s="1"/>
  <c r="H166" i="2"/>
  <c r="J166" i="2" s="1"/>
  <c r="H167" i="2"/>
  <c r="J167" i="2" s="1"/>
  <c r="H168" i="2"/>
  <c r="J168" i="2" s="1"/>
  <c r="J82" i="2"/>
  <c r="J84" i="2"/>
  <c r="J85" i="2"/>
  <c r="J86" i="2"/>
  <c r="J88" i="2"/>
  <c r="J89" i="2"/>
  <c r="J90" i="2"/>
  <c r="J91" i="2"/>
  <c r="J92" i="2"/>
  <c r="J93" i="2"/>
  <c r="J94" i="2"/>
  <c r="J95" i="2"/>
  <c r="J96" i="2"/>
  <c r="J97" i="2"/>
  <c r="J98" i="2"/>
  <c r="J81" i="2"/>
  <c r="J87" i="2" l="1"/>
  <c r="J83" i="2"/>
  <c r="H173" i="2"/>
  <c r="J174" i="2" s="1"/>
  <c r="I174" i="2" l="1"/>
  <c r="J173" i="2" l="1"/>
</calcChain>
</file>

<file path=xl/sharedStrings.xml><?xml version="1.0" encoding="utf-8"?>
<sst xmlns="http://schemas.openxmlformats.org/spreadsheetml/2006/main" count="641" uniqueCount="227">
  <si>
    <t>QTD NO PEC</t>
  </si>
  <si>
    <t>QTD DE PEC</t>
  </si>
  <si>
    <t>VENDEDOR:</t>
  </si>
  <si>
    <t>PROGRAMAÇÃO</t>
  </si>
  <si>
    <t>FORNECEDOR:</t>
  </si>
  <si>
    <t>COND. PAG.</t>
  </si>
  <si>
    <t>OBSERVAÇÃO:</t>
  </si>
  <si>
    <t>CONTATO</t>
  </si>
  <si>
    <t>DATA PEDIDO</t>
  </si>
  <si>
    <t>DATA ENTREGA</t>
  </si>
  <si>
    <t>37.144.240/0001-70</t>
  </si>
  <si>
    <t>% OFF</t>
  </si>
  <si>
    <t>N° PEDIDO</t>
  </si>
  <si>
    <t>QTD UNI</t>
  </si>
  <si>
    <t>VALOR TOTAL</t>
  </si>
  <si>
    <t>DESCRIÇÃO PRODUTO</t>
  </si>
  <si>
    <t>CASTRO</t>
  </si>
  <si>
    <t>IMBITUVA</t>
  </si>
  <si>
    <t>IVAI</t>
  </si>
  <si>
    <t>FRETE</t>
  </si>
  <si>
    <t>REFERÊNCIA DE FÁBRICA</t>
  </si>
  <si>
    <t>Rafael (55) 9. 9659-6315</t>
  </si>
  <si>
    <t>PREÇO MÉDIO</t>
  </si>
  <si>
    <t>OBSERVAÇÕES:</t>
  </si>
  <si>
    <t>ACRESCIMOS:</t>
  </si>
  <si>
    <t>ST</t>
  </si>
  <si>
    <t>IPI</t>
  </si>
  <si>
    <t>DIFAL</t>
  </si>
  <si>
    <t>JAVERT</t>
  </si>
  <si>
    <t>43.304.141/0001-00</t>
  </si>
  <si>
    <r>
      <rPr>
        <b/>
        <sz val="14"/>
        <rFont val="Arial"/>
        <family val="2"/>
      </rPr>
      <t>PEDIDO DE COMPRA</t>
    </r>
    <r>
      <rPr>
        <b/>
        <sz val="14"/>
        <color rgb="FFFF0000"/>
        <rFont val="Arial"/>
        <family val="2"/>
      </rPr>
      <t xml:space="preserve"> ALS 10 </t>
    </r>
  </si>
  <si>
    <t>Bruna (55) 9. 3618-5609</t>
  </si>
  <si>
    <t>TIBAGI</t>
  </si>
  <si>
    <t>RESERVA</t>
  </si>
  <si>
    <t>IMBAU</t>
  </si>
  <si>
    <t>AGENDAR ENTREGA</t>
  </si>
  <si>
    <t>(42) 9 9136-5009</t>
  </si>
  <si>
    <t>CONFERENTE</t>
  </si>
  <si>
    <t>**SE POSSUIR AVARIAS APONTAR NO VERSO DA FOLHA</t>
  </si>
  <si>
    <t>SIM</t>
  </si>
  <si>
    <t xml:space="preserve"> NÃO</t>
  </si>
  <si>
    <t>POSSUI AVARIAS?</t>
  </si>
  <si>
    <t>DESCARREGAMENTO POR CONTA DO FORNECEDOR</t>
  </si>
  <si>
    <t>BOLETOS E PEDIDOS VIA E-MAIL - PARTE ESPECIAL VIA DEPOSITOS</t>
  </si>
  <si>
    <t>als.conecta@gmail.com</t>
  </si>
  <si>
    <t>RIO AZUL</t>
  </si>
  <si>
    <r>
      <rPr>
        <b/>
        <sz val="14"/>
        <rFont val="Arial"/>
        <family val="2"/>
      </rPr>
      <t>PEDIDO DE COMPRA</t>
    </r>
    <r>
      <rPr>
        <b/>
        <sz val="14"/>
        <color rgb="FFFF0000"/>
        <rFont val="Arial"/>
        <family val="2"/>
      </rPr>
      <t xml:space="preserve"> CONECTA</t>
    </r>
  </si>
  <si>
    <t>MALLET</t>
  </si>
  <si>
    <t>PEDIDO PARA SEPARACAO</t>
  </si>
  <si>
    <t>CODIGO INTERNO</t>
  </si>
  <si>
    <t>PDV</t>
  </si>
  <si>
    <t>CAMPO LARGO</t>
  </si>
  <si>
    <t>ICMS</t>
  </si>
  <si>
    <t>PIS/COFINS</t>
  </si>
  <si>
    <t>FIXO</t>
  </si>
  <si>
    <t>CREDITO ICMS</t>
  </si>
  <si>
    <t>TOTAL</t>
  </si>
  <si>
    <t>VALOR DE COMPRA</t>
  </si>
  <si>
    <t>VALOR CREDITO</t>
  </si>
  <si>
    <t>VALOR TOTAL PRODUTO</t>
  </si>
  <si>
    <t>DESPESAS</t>
  </si>
  <si>
    <t>IPIRANGA</t>
  </si>
  <si>
    <t>SANTA PAULA</t>
  </si>
  <si>
    <t>PRUDE</t>
  </si>
  <si>
    <t>DEPOSITO</t>
  </si>
  <si>
    <t>REBOUCAS</t>
  </si>
  <si>
    <t>PEDIDO</t>
  </si>
  <si>
    <t>RECEBIMENTO</t>
  </si>
  <si>
    <t>PROG.</t>
  </si>
  <si>
    <t>N. RUSSIA</t>
  </si>
  <si>
    <t>IRATI C.</t>
  </si>
  <si>
    <t>A</t>
  </si>
  <si>
    <t>B</t>
  </si>
  <si>
    <t>C</t>
  </si>
  <si>
    <t>TEIXEIRA</t>
  </si>
  <si>
    <t>SEPARACAO</t>
  </si>
  <si>
    <t>CALCULADORA DA SEPARACAO</t>
  </si>
  <si>
    <t>QUANTIDADE</t>
  </si>
  <si>
    <t>GUARAPUAVA</t>
  </si>
  <si>
    <t>RETIRA</t>
  </si>
  <si>
    <t>NÃO</t>
  </si>
  <si>
    <t>CONECTA</t>
  </si>
  <si>
    <t>INCENSARIO MOTIVACIONAL</t>
  </si>
  <si>
    <t>KIT PETISQUEIRA QUADRADA</t>
  </si>
  <si>
    <t>KIT PETISQUEIRA RETANGULAR</t>
  </si>
  <si>
    <t>KIT PETISQUEIRA REDONDA</t>
  </si>
  <si>
    <t>PORTA TEMPERO TABUA P/5</t>
  </si>
  <si>
    <t>QUADRO MINHAS COMPRAS 11X30</t>
  </si>
  <si>
    <t>MURAL DE RECADOS COM BLOCO 10X15 E CANETA</t>
  </si>
  <si>
    <t>MURAL DE RECADOS 2 EM 1</t>
  </si>
  <si>
    <t>LOUSA 2 EM 1 JOGO DA FORCA E VELHA</t>
  </si>
  <si>
    <t>PORTA CONTROLE 3 DIV GOLD</t>
  </si>
  <si>
    <t>ARRANJO DE PAREDE 30X30 CISAL</t>
  </si>
  <si>
    <t>ARRANJO DE PAREDE 41X46</t>
  </si>
  <si>
    <t>ARRANJO DE PAREDE 30X30 1 CAIXA</t>
  </si>
  <si>
    <t>ARRANJO DE PAREDE 40X30 1 CAIXA</t>
  </si>
  <si>
    <t>PRATELEIRA DE PAREDE</t>
  </si>
  <si>
    <t>CAIXA DE PAO</t>
  </si>
  <si>
    <t>KIT 2 QUADROS</t>
  </si>
  <si>
    <t>CALENDARIO PERMANETE</t>
  </si>
  <si>
    <t>REGUA GIRAFA</t>
  </si>
  <si>
    <t>ENFEITE DE PORTA SETAS</t>
  </si>
  <si>
    <t>ENFEITE DE PORTA MAIOR PRESENTE</t>
  </si>
  <si>
    <t>ENFEITE DE PORTA HOME</t>
  </si>
  <si>
    <t>ENFEITE DE PORTA CORACAO</t>
  </si>
  <si>
    <t>ENFEITE DE PORTA GRATIDAO</t>
  </si>
  <si>
    <t>ENFEITE DE PORTA PALAVRAS</t>
  </si>
  <si>
    <t>COFRE DESAFIO 52 SEMANAS</t>
  </si>
  <si>
    <t>PORTA CHALEIRA CHA</t>
  </si>
  <si>
    <t>PORTA CHAVES CIDADE COM PORTA TRECO</t>
  </si>
  <si>
    <t>PORTA CHAVES CASA</t>
  </si>
  <si>
    <t>PORTA BARALHO</t>
  </si>
  <si>
    <t>BANDEJA</t>
  </si>
  <si>
    <t>PORTA JOIAS 1 GAVETA</t>
  </si>
  <si>
    <t>PORTA JOIAS G</t>
  </si>
  <si>
    <t>PORTA JOIAS P</t>
  </si>
  <si>
    <t>PORTA JOIAS 2 GAVETAS</t>
  </si>
  <si>
    <t>CAIXA DE REMEDIO</t>
  </si>
  <si>
    <t>CAIXA VINTAGE</t>
  </si>
  <si>
    <t>CAIXA DE DOCUMENTOS</t>
  </si>
  <si>
    <t>CAIXA ORGANIZA TUDO</t>
  </si>
  <si>
    <t>ALBUM DE FOTOS</t>
  </si>
  <si>
    <t>PORTA ESMALTE CESTA</t>
  </si>
  <si>
    <t>CASA DE PASSARINNHO</t>
  </si>
  <si>
    <t>PORTA CHA 3 DIV</t>
  </si>
  <si>
    <t>BALEIRO</t>
  </si>
  <si>
    <t>PORTA COSTURA CAIXA</t>
  </si>
  <si>
    <t>PORTA CHAVES C/3</t>
  </si>
  <si>
    <t>PORTA ESPETO CAIXA</t>
  </si>
  <si>
    <t>ENFEITE DE CUIA GOLD</t>
  </si>
  <si>
    <t>PORTA CAPSULA P/12 DOLCE GUSTO</t>
  </si>
  <si>
    <t>CAMINHAO HOT WHEELS</t>
  </si>
  <si>
    <t>MESA DE APOIO</t>
  </si>
  <si>
    <t>JOGO DA VELHA</t>
  </si>
  <si>
    <t>MANDALA SORTIDA</t>
  </si>
  <si>
    <t>CAIXA 16L SEM ADESIVO</t>
  </si>
  <si>
    <t>CAIXA 19L SEM ADESIVO</t>
  </si>
  <si>
    <t>CAIXA ORG. BAIXA P SEM ADESIVO</t>
  </si>
  <si>
    <t>CAIXA ORG. BAIXA M SEM ADESIVO</t>
  </si>
  <si>
    <t>CAIXOTE P SEM ADESIVO</t>
  </si>
  <si>
    <t>CAIXOTE M SEM ADESIVO</t>
  </si>
  <si>
    <t>PRATELEIRA 3 ANDAR DESMONTADA</t>
  </si>
  <si>
    <t>BANDEJA MDF CRU</t>
  </si>
  <si>
    <t>CAIXA CRU 19X19</t>
  </si>
  <si>
    <t>CAIXA CRU 27X27</t>
  </si>
  <si>
    <t>CAIXA CRU 17X27</t>
  </si>
  <si>
    <t>CAIXA CRU 30X23</t>
  </si>
  <si>
    <t>CAIXA 10L SEM ADESIVO</t>
  </si>
  <si>
    <t>BAU DECORATIVO</t>
  </si>
  <si>
    <t>COFRE LONDON</t>
  </si>
  <si>
    <t>PORTA MAQUIAGEM</t>
  </si>
  <si>
    <t>PORTA MAQUIAGEM GOLD</t>
  </si>
  <si>
    <t>BANDEJA MARMORIZADA</t>
  </si>
  <si>
    <t>PUXA SACO</t>
  </si>
  <si>
    <t>QUADRO FRASES ENGRACADAS</t>
  </si>
  <si>
    <t>QUADRO DECORATIVO ANIMAIS</t>
  </si>
  <si>
    <t>QUADRO DE ENTRADA</t>
  </si>
  <si>
    <t>TORREMOTO</t>
  </si>
  <si>
    <t>QUEBRA CABECA ALFABETO INGLES</t>
  </si>
  <si>
    <t>JOGO DA MEMORIA INGLES</t>
  </si>
  <si>
    <t>JOGO DA MEMORIA ANIMAIS</t>
  </si>
  <si>
    <t>JOGO DA MEMORIA FAZENDA</t>
  </si>
  <si>
    <t>JOGO DA MEMORIA BRANCA DE NEVE</t>
  </si>
  <si>
    <t>JOGO DA MEMORIA CINDERELA</t>
  </si>
  <si>
    <t>JOGO DA MEMORIA VEICULOS</t>
  </si>
  <si>
    <t>QUEBRA CABECA CHAPEUZINHO</t>
  </si>
  <si>
    <t>QUEBRA CABECA DINO</t>
  </si>
  <si>
    <t>QUEBRA CABECA CINDERELA</t>
  </si>
  <si>
    <t>QUEBRA CABECA PINOQUIO</t>
  </si>
  <si>
    <t>QUEBRA CABECA CASTELO DA PRINCESA</t>
  </si>
  <si>
    <t>QUEBRA CABECA ALFABETO ANIMAIS</t>
  </si>
  <si>
    <t>QUEBRA CABECA TRENZINHO</t>
  </si>
  <si>
    <t>QUEBRA CABECA BRANCA DE NEVE</t>
  </si>
  <si>
    <t>QUEBRA CABECA OS 3 PORQUINHOS</t>
  </si>
  <si>
    <t>QUEBRA CABECA UNICORNIO</t>
  </si>
  <si>
    <t>JOGO DOMINO</t>
  </si>
  <si>
    <t>JOGO 2 EM 1 DAMA E TRILHA</t>
  </si>
  <si>
    <t>JOGO LUDO</t>
  </si>
  <si>
    <t>QUADRO SEMANA ORGANIZADA</t>
  </si>
  <si>
    <t>QUADRO DESENHANDO AS LETRAS</t>
  </si>
  <si>
    <t>QUADRO VOGAIS</t>
  </si>
  <si>
    <t>QUADRO BRANCA DE NEVE</t>
  </si>
  <si>
    <t>QUADRO FLORK</t>
  </si>
  <si>
    <t>QUADRO MINHA ROTINA BRAVINHA</t>
  </si>
  <si>
    <t>QUADRO MINHA ROTINA</t>
  </si>
  <si>
    <t>QUADRO MURAL DAS CONQUISTAS</t>
  </si>
  <si>
    <t>QUADRO MEUS RABISCOS</t>
  </si>
  <si>
    <t>COFRE MODELO CASA</t>
  </si>
  <si>
    <t>COFRE DESAFIO DINO</t>
  </si>
  <si>
    <t>COFRE DESAFIO DOS 1500</t>
  </si>
  <si>
    <t>JOGO DA VELHA UNI</t>
  </si>
  <si>
    <t>JOGO DA VELHA DINO</t>
  </si>
  <si>
    <t>BANDEJA COM 1 VELA PERFUMADA BRASIL</t>
  </si>
  <si>
    <t>PORTA VELA AROMATICA CORACAO</t>
  </si>
  <si>
    <t>LOUSA DINO E AMIGOS</t>
  </si>
  <si>
    <t>PLACA DECORATIVA CHURRASCO</t>
  </si>
  <si>
    <t>PLACA DECORATIVA ASSADOR</t>
  </si>
  <si>
    <t xml:space="preserve">PROMESSAS DE DEUS </t>
  </si>
  <si>
    <t>ROLETA SHOT ( SEM COMPO )</t>
  </si>
  <si>
    <t>QUADRO LOUSA STICH</t>
  </si>
  <si>
    <t>QUADRO LOUSA LABUBU</t>
  </si>
  <si>
    <t>QUEBRA CABECA STICH</t>
  </si>
  <si>
    <t>QUEBRA CABECA ASTRONAUTA</t>
  </si>
  <si>
    <t>RESTA 1</t>
  </si>
  <si>
    <t>CUBO FORMAS</t>
  </si>
  <si>
    <t>CUBO VOGAIS</t>
  </si>
  <si>
    <t>JOGO DO MICO</t>
  </si>
  <si>
    <t>ROUBA MONTE</t>
  </si>
  <si>
    <t>QUEBRA CABECA 3D AVIAO</t>
  </si>
  <si>
    <t>QUEBRA CABECA 3D CAVALO</t>
  </si>
  <si>
    <t>QUEBRA CABECA 3D DINO</t>
  </si>
  <si>
    <t>PEQUENO ENGENHEIRO 42PC</t>
  </si>
  <si>
    <t>CASTELO DA PRINCESA 42PC</t>
  </si>
  <si>
    <t>CESTA DE PASCOA CISAL</t>
  </si>
  <si>
    <t>CESTA DE PASCOA OVO</t>
  </si>
  <si>
    <t>COFRE MALA DE ECONOMIAS</t>
  </si>
  <si>
    <t>COFRE MALA VINTAGE</t>
  </si>
  <si>
    <t>SANTINHOS TOTEM</t>
  </si>
  <si>
    <t>PORTA CALENDARIO</t>
  </si>
  <si>
    <t>CAIXA CHA 2 GAVETAS</t>
  </si>
  <si>
    <t>ADICAO E SUBTRACAO</t>
  </si>
  <si>
    <t>DESCOBRINDO OS NUMEROS</t>
  </si>
  <si>
    <t>DESCOBRINDO AS LETRAS</t>
  </si>
  <si>
    <t>TABULEIRO ELEFANTE E CACHORRO</t>
  </si>
  <si>
    <t>TABULEIRO VACA E PICA PAU</t>
  </si>
  <si>
    <t>TABULEIRO TREM E GATO</t>
  </si>
  <si>
    <t>BOLETO 30/40/50/60/70/80/90/100/110/120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</si>
</sst>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36"/>
      <name val="Arial"/>
      <family val="2"/>
    </font>
    <font>
      <sz val="11"/>
      <color theme="1"/>
      <name val="AngsanaUPC"/>
      <family val="1"/>
    </font>
    <font>
      <b/>
      <sz val="11"/>
      <color theme="1"/>
      <name val="Arial"/>
      <family val="2"/>
    </font>
    <font>
      <b/>
      <sz val="20"/>
      <name val="Arial"/>
      <family val="2"/>
    </font>
    <font>
      <b/>
      <sz val="22"/>
      <color theme="1"/>
      <name val="Arial"/>
      <family val="2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6"/>
      <color theme="1"/>
      <name val="Al Bayan Plain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19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0" fillId="0" borderId="1" xfId="2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0" fontId="2" fillId="8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8" fontId="4" fillId="2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7" borderId="1" xfId="0" applyFont="1" applyFill="1" applyBorder="1"/>
    <xf numFmtId="0" fontId="2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0" fillId="16" borderId="1" xfId="0" applyFill="1" applyBorder="1" applyAlignment="1">
      <alignment horizontal="center"/>
    </xf>
    <xf numFmtId="1" fontId="0" fillId="16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3" borderId="2" xfId="0" applyFill="1" applyBorder="1" applyAlignment="1">
      <alignment vertical="center"/>
    </xf>
    <xf numFmtId="0" fontId="0" fillId="13" borderId="4" xfId="0" applyFill="1" applyBorder="1" applyAlignment="1">
      <alignment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10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/>
    </xf>
    <xf numFmtId="14" fontId="3" fillId="0" borderId="1" xfId="1" applyNumberForma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14" fontId="11" fillId="6" borderId="12" xfId="0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9" fontId="0" fillId="4" borderId="2" xfId="0" applyNumberFormat="1" applyFill="1" applyBorder="1" applyAlignment="1">
      <alignment horizontal="center" vertical="center" wrapText="1"/>
    </xf>
    <xf numFmtId="9" fontId="0" fillId="4" borderId="4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164" fontId="0" fillId="4" borderId="4" xfId="0" applyNumberFormat="1" applyFill="1" applyBorder="1" applyAlignment="1">
      <alignment horizontal="center" vertical="center" wrapText="1"/>
    </xf>
    <xf numFmtId="164" fontId="0" fillId="4" borderId="2" xfId="2" applyNumberFormat="1" applyFont="1" applyFill="1" applyBorder="1" applyAlignment="1">
      <alignment horizontal="center" vertical="center" wrapText="1"/>
    </xf>
    <xf numFmtId="164" fontId="0" fillId="4" borderId="3" xfId="2" applyNumberFormat="1" applyFont="1" applyFill="1" applyBorder="1" applyAlignment="1">
      <alignment horizontal="center" vertical="center" wrapText="1"/>
    </xf>
    <xf numFmtId="164" fontId="0" fillId="4" borderId="4" xfId="2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0" fontId="8" fillId="4" borderId="9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9" fontId="1" fillId="4" borderId="2" xfId="0" applyNumberFormat="1" applyFont="1" applyFill="1" applyBorder="1" applyAlignment="1">
      <alignment horizontal="center" vertical="center" wrapText="1"/>
    </xf>
    <xf numFmtId="9" fontId="1" fillId="4" borderId="4" xfId="0" applyNumberFormat="1" applyFont="1" applyFill="1" applyBorder="1" applyAlignment="1">
      <alignment horizontal="center" vertical="center" wrapText="1"/>
    </xf>
    <xf numFmtId="9" fontId="20" fillId="4" borderId="2" xfId="0" applyNumberFormat="1" applyFont="1" applyFill="1" applyBorder="1" applyAlignment="1">
      <alignment horizontal="center" vertical="center" wrapText="1"/>
    </xf>
    <xf numFmtId="9" fontId="20" fillId="4" borderId="4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/>
    </xf>
    <xf numFmtId="0" fontId="23" fillId="14" borderId="9" xfId="0" applyFont="1" applyFill="1" applyBorder="1" applyAlignment="1">
      <alignment horizontal="center" vertical="center"/>
    </xf>
    <xf numFmtId="0" fontId="23" fillId="14" borderId="10" xfId="0" applyFont="1" applyFill="1" applyBorder="1" applyAlignment="1">
      <alignment horizontal="center" vertical="center"/>
    </xf>
    <xf numFmtId="0" fontId="23" fillId="14" borderId="11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15" borderId="6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7" fillId="11" borderId="1" xfId="0" applyFont="1" applyFill="1" applyBorder="1" applyAlignment="1">
      <alignment horizontal="center" vertical="center"/>
    </xf>
    <xf numFmtId="1" fontId="0" fillId="16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1" fontId="24" fillId="13" borderId="1" xfId="0" applyNumberFormat="1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145026</xdr:colOff>
      <xdr:row>8</xdr:row>
      <xdr:rowOff>122943</xdr:rowOff>
    </xdr:from>
    <xdr:to>
      <xdr:col>24</xdr:col>
      <xdr:colOff>287868</xdr:colOff>
      <xdr:row>40</xdr:row>
      <xdr:rowOff>161766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0A0202-2D04-CF56-8D25-058A6603D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7826" y="2188810"/>
          <a:ext cx="4003642" cy="59993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faelluis/Desktop/COMPRAS/CONECTA/CONECTA%2012:08:24.xlsx" TargetMode="External"/><Relationship Id="rId1" Type="http://schemas.openxmlformats.org/officeDocument/2006/relationships/externalLinkPath" Target="CONECTA%2012:08: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S 10 BAZAR"/>
      <sheetName val="CONECTA"/>
      <sheetName val="Planilha1"/>
    </sheetNames>
    <sheetDataSet>
      <sheetData sheetId="0" refreshError="1">
        <row r="9">
          <cell r="A9">
            <v>652</v>
          </cell>
          <cell r="I9">
            <v>4.7</v>
          </cell>
        </row>
        <row r="10">
          <cell r="A10">
            <v>653</v>
          </cell>
          <cell r="I10">
            <v>6.5</v>
          </cell>
        </row>
        <row r="11">
          <cell r="A11">
            <v>654</v>
          </cell>
          <cell r="I11">
            <v>6.5</v>
          </cell>
        </row>
        <row r="12">
          <cell r="A12">
            <v>655</v>
          </cell>
          <cell r="I12">
            <v>6.5</v>
          </cell>
        </row>
        <row r="13">
          <cell r="A13">
            <v>656</v>
          </cell>
          <cell r="I13">
            <v>7.4</v>
          </cell>
        </row>
        <row r="14">
          <cell r="A14">
            <v>657</v>
          </cell>
          <cell r="I14">
            <v>6.2</v>
          </cell>
        </row>
        <row r="15">
          <cell r="A15">
            <v>659</v>
          </cell>
          <cell r="I15">
            <v>6.8</v>
          </cell>
        </row>
        <row r="16">
          <cell r="A16">
            <v>660</v>
          </cell>
          <cell r="I16">
            <v>6.7</v>
          </cell>
        </row>
        <row r="17">
          <cell r="A17">
            <v>661</v>
          </cell>
          <cell r="I17">
            <v>6.7</v>
          </cell>
        </row>
        <row r="18">
          <cell r="A18">
            <v>662</v>
          </cell>
          <cell r="I18">
            <v>5.7</v>
          </cell>
        </row>
        <row r="19">
          <cell r="A19">
            <v>664</v>
          </cell>
          <cell r="I19">
            <v>6.2</v>
          </cell>
        </row>
        <row r="20">
          <cell r="A20">
            <v>665</v>
          </cell>
          <cell r="I20">
            <v>6.2</v>
          </cell>
        </row>
        <row r="21">
          <cell r="A21">
            <v>666</v>
          </cell>
          <cell r="I21">
            <v>6.2</v>
          </cell>
        </row>
        <row r="22">
          <cell r="A22">
            <v>667</v>
          </cell>
          <cell r="I22">
            <v>6.2</v>
          </cell>
        </row>
        <row r="23">
          <cell r="A23">
            <v>668</v>
          </cell>
          <cell r="I23">
            <v>6.2</v>
          </cell>
        </row>
        <row r="24">
          <cell r="A24">
            <v>669</v>
          </cell>
          <cell r="I24">
            <v>6.2</v>
          </cell>
        </row>
        <row r="25">
          <cell r="A25">
            <v>1418</v>
          </cell>
          <cell r="I25">
            <v>6.7</v>
          </cell>
        </row>
        <row r="26">
          <cell r="A26">
            <v>1425</v>
          </cell>
        </row>
        <row r="27">
          <cell r="A27">
            <v>1370</v>
          </cell>
          <cell r="I27">
            <v>6.6</v>
          </cell>
        </row>
        <row r="28">
          <cell r="A28">
            <v>1423</v>
          </cell>
          <cell r="I28">
            <v>5.45</v>
          </cell>
        </row>
        <row r="29">
          <cell r="A29">
            <v>1419</v>
          </cell>
          <cell r="I29">
            <v>5.45</v>
          </cell>
        </row>
        <row r="30">
          <cell r="A30">
            <v>1424</v>
          </cell>
          <cell r="I30">
            <v>5.45</v>
          </cell>
        </row>
        <row r="31">
          <cell r="A31">
            <v>1421</v>
          </cell>
          <cell r="I31">
            <v>5.45</v>
          </cell>
        </row>
        <row r="32">
          <cell r="A32">
            <v>1422</v>
          </cell>
          <cell r="I32">
            <v>5.45</v>
          </cell>
        </row>
        <row r="33">
          <cell r="A33">
            <v>1420</v>
          </cell>
          <cell r="I33">
            <v>5.45</v>
          </cell>
        </row>
        <row r="34">
          <cell r="A34">
            <v>1893</v>
          </cell>
          <cell r="I34">
            <v>6.7</v>
          </cell>
        </row>
        <row r="35">
          <cell r="A35">
            <v>1365</v>
          </cell>
          <cell r="I35">
            <v>6.9</v>
          </cell>
        </row>
        <row r="36">
          <cell r="A36">
            <v>1892</v>
          </cell>
          <cell r="I36">
            <v>6.9</v>
          </cell>
        </row>
        <row r="37">
          <cell r="A37">
            <v>1887</v>
          </cell>
          <cell r="I37">
            <v>6.3</v>
          </cell>
        </row>
        <row r="38">
          <cell r="A38">
            <v>996</v>
          </cell>
          <cell r="I38">
            <v>5.5</v>
          </cell>
        </row>
        <row r="39">
          <cell r="A39">
            <v>994</v>
          </cell>
          <cell r="I39">
            <v>5.9</v>
          </cell>
        </row>
        <row r="40">
          <cell r="A40">
            <v>1012</v>
          </cell>
          <cell r="I40">
            <v>6.8</v>
          </cell>
        </row>
        <row r="41">
          <cell r="A41">
            <v>1014</v>
          </cell>
          <cell r="I41">
            <v>5.7</v>
          </cell>
        </row>
        <row r="42">
          <cell r="A42">
            <v>1011</v>
          </cell>
          <cell r="I42">
            <v>5.5</v>
          </cell>
        </row>
        <row r="43">
          <cell r="A43">
            <v>1013</v>
          </cell>
          <cell r="I43">
            <v>7.3</v>
          </cell>
        </row>
        <row r="44">
          <cell r="A44">
            <v>1015</v>
          </cell>
          <cell r="I44">
            <v>5.9</v>
          </cell>
        </row>
        <row r="45">
          <cell r="A45">
            <v>1122</v>
          </cell>
          <cell r="I45">
            <v>5.9</v>
          </cell>
        </row>
        <row r="46">
          <cell r="A46">
            <v>1300</v>
          </cell>
          <cell r="I46">
            <v>5.5</v>
          </cell>
        </row>
        <row r="47">
          <cell r="A47">
            <v>1789</v>
          </cell>
          <cell r="I47">
            <v>5.5</v>
          </cell>
        </row>
        <row r="48">
          <cell r="A48">
            <v>989</v>
          </cell>
          <cell r="I48">
            <v>5.5</v>
          </cell>
        </row>
        <row r="49">
          <cell r="A49">
            <v>1006</v>
          </cell>
          <cell r="I49">
            <v>5.5</v>
          </cell>
        </row>
        <row r="50">
          <cell r="A50">
            <v>1792</v>
          </cell>
          <cell r="I50">
            <v>5.5</v>
          </cell>
        </row>
        <row r="51">
          <cell r="A51">
            <v>998</v>
          </cell>
          <cell r="I51">
            <v>5.5</v>
          </cell>
        </row>
        <row r="52">
          <cell r="A52">
            <v>1678</v>
          </cell>
          <cell r="I52">
            <v>5.5</v>
          </cell>
        </row>
        <row r="53">
          <cell r="A53">
            <v>1002</v>
          </cell>
          <cell r="I53">
            <v>5.9</v>
          </cell>
        </row>
        <row r="54">
          <cell r="A54">
            <v>1121</v>
          </cell>
          <cell r="I54">
            <v>6</v>
          </cell>
        </row>
        <row r="55">
          <cell r="A55">
            <v>1805</v>
          </cell>
          <cell r="I55">
            <v>7.2</v>
          </cell>
        </row>
        <row r="56">
          <cell r="A56">
            <v>647</v>
          </cell>
          <cell r="I56">
            <v>1</v>
          </cell>
        </row>
        <row r="57">
          <cell r="A57">
            <v>792</v>
          </cell>
          <cell r="I57">
            <v>6.9</v>
          </cell>
        </row>
        <row r="58">
          <cell r="A58">
            <v>823</v>
          </cell>
          <cell r="I58">
            <v>7.2</v>
          </cell>
        </row>
        <row r="59">
          <cell r="A59">
            <v>1064</v>
          </cell>
        </row>
        <row r="60">
          <cell r="A60">
            <v>804</v>
          </cell>
          <cell r="I60">
            <v>4</v>
          </cell>
        </row>
        <row r="61">
          <cell r="A61">
            <v>646</v>
          </cell>
          <cell r="I61">
            <v>5</v>
          </cell>
        </row>
        <row r="62">
          <cell r="A62">
            <v>630</v>
          </cell>
          <cell r="I62">
            <v>7.4</v>
          </cell>
        </row>
        <row r="63">
          <cell r="A63">
            <v>631</v>
          </cell>
          <cell r="I63">
            <v>6.2</v>
          </cell>
        </row>
        <row r="64">
          <cell r="A64">
            <v>618</v>
          </cell>
          <cell r="I64">
            <v>6.9</v>
          </cell>
        </row>
        <row r="65">
          <cell r="A65">
            <v>619</v>
          </cell>
          <cell r="I65">
            <v>6.5</v>
          </cell>
        </row>
        <row r="66">
          <cell r="A66">
            <v>621</v>
          </cell>
          <cell r="I66">
            <v>7.2</v>
          </cell>
        </row>
        <row r="67">
          <cell r="A67">
            <v>622</v>
          </cell>
          <cell r="I67">
            <v>7.5</v>
          </cell>
        </row>
        <row r="68">
          <cell r="I68">
            <v>6.7</v>
          </cell>
        </row>
        <row r="69">
          <cell r="A69">
            <v>1912</v>
          </cell>
          <cell r="I69">
            <v>5.5</v>
          </cell>
        </row>
        <row r="70">
          <cell r="A70">
            <v>1896</v>
          </cell>
          <cell r="I70">
            <v>5</v>
          </cell>
        </row>
        <row r="71">
          <cell r="A71">
            <v>1904</v>
          </cell>
          <cell r="I71">
            <v>5</v>
          </cell>
        </row>
        <row r="72">
          <cell r="A72">
            <v>1905</v>
          </cell>
          <cell r="I72">
            <v>5</v>
          </cell>
        </row>
        <row r="73">
          <cell r="A73">
            <v>1997</v>
          </cell>
          <cell r="I73">
            <v>5</v>
          </cell>
        </row>
        <row r="74">
          <cell r="A74">
            <v>629</v>
          </cell>
          <cell r="I74">
            <v>6.2</v>
          </cell>
        </row>
        <row r="77">
          <cell r="I77">
            <v>6.7</v>
          </cell>
        </row>
        <row r="78">
          <cell r="I78">
            <v>6.7</v>
          </cell>
        </row>
        <row r="79">
          <cell r="I79">
            <v>6.7</v>
          </cell>
        </row>
        <row r="80">
          <cell r="I80">
            <v>6.7</v>
          </cell>
        </row>
        <row r="81">
          <cell r="I81">
            <v>6.7</v>
          </cell>
        </row>
        <row r="82">
          <cell r="I82">
            <v>6.7</v>
          </cell>
        </row>
        <row r="83">
          <cell r="I83">
            <v>6.7</v>
          </cell>
        </row>
        <row r="84">
          <cell r="I84">
            <v>6.7</v>
          </cell>
        </row>
        <row r="85">
          <cell r="I85">
            <v>6.7</v>
          </cell>
        </row>
        <row r="86">
          <cell r="I86">
            <v>6.7</v>
          </cell>
        </row>
        <row r="87">
          <cell r="I87">
            <v>6.7</v>
          </cell>
        </row>
        <row r="88">
          <cell r="I88">
            <v>6.7</v>
          </cell>
        </row>
        <row r="89">
          <cell r="I89">
            <v>6.7</v>
          </cell>
        </row>
        <row r="90">
          <cell r="I90">
            <v>6.7</v>
          </cell>
        </row>
        <row r="91">
          <cell r="I91">
            <v>6.7</v>
          </cell>
        </row>
        <row r="92">
          <cell r="I92">
            <v>6.7</v>
          </cell>
        </row>
        <row r="93">
          <cell r="I93">
            <v>6.7</v>
          </cell>
        </row>
        <row r="94">
          <cell r="A94">
            <v>4012</v>
          </cell>
          <cell r="I94">
            <v>6.7</v>
          </cell>
        </row>
        <row r="95">
          <cell r="A95">
            <v>4033</v>
          </cell>
          <cell r="I95">
            <v>6.7</v>
          </cell>
        </row>
        <row r="97">
          <cell r="I97"/>
        </row>
        <row r="98">
          <cell r="A98">
            <v>1435</v>
          </cell>
          <cell r="I98">
            <v>6.7</v>
          </cell>
        </row>
        <row r="99">
          <cell r="A99">
            <v>1437</v>
          </cell>
          <cell r="I99">
            <v>6.7</v>
          </cell>
        </row>
        <row r="100">
          <cell r="I100">
            <v>6.7</v>
          </cell>
        </row>
        <row r="101">
          <cell r="I101">
            <v>6.7</v>
          </cell>
        </row>
        <row r="102">
          <cell r="A102">
            <v>1440</v>
          </cell>
          <cell r="I102">
            <v>6.7</v>
          </cell>
        </row>
        <row r="103">
          <cell r="I103">
            <v>6.7</v>
          </cell>
        </row>
        <row r="104">
          <cell r="I104">
            <v>6.7</v>
          </cell>
        </row>
        <row r="105">
          <cell r="I105">
            <v>6.7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s.conect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s.conect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551"/>
  <sheetViews>
    <sheetView tabSelected="1" zoomScaleNormal="100" workbookViewId="0">
      <pane ySplit="8" topLeftCell="A163" activePane="bottomLeft" state="frozen"/>
      <selection pane="bottomLeft" activeCell="B165" sqref="B165:E165"/>
    </sheetView>
  </sheetViews>
  <sheetFormatPr baseColWidth="10" defaultColWidth="9.1640625" defaultRowHeight="15" x14ac:dyDescent="0.2"/>
  <cols>
    <col min="1" max="1" width="13.1640625" style="2" customWidth="1"/>
    <col min="2" max="3" width="9.1640625" style="2"/>
    <col min="4" max="5" width="9.1640625" style="2" customWidth="1"/>
    <col min="6" max="7" width="6.5" style="2" customWidth="1"/>
    <col min="8" max="8" width="13.33203125" style="2" bestFit="1" customWidth="1"/>
    <col min="9" max="9" width="17.1640625" style="2" customWidth="1"/>
    <col min="10" max="10" width="9.33203125" style="1" customWidth="1"/>
    <col min="11" max="29" width="4.1640625" style="2" customWidth="1"/>
    <col min="30" max="30" width="9.1640625" style="2"/>
    <col min="31" max="31" width="10" style="2" customWidth="1"/>
    <col min="32" max="34" width="9.1640625" style="2"/>
  </cols>
  <sheetData>
    <row r="1" spans="1:34" ht="39" customHeight="1" x14ac:dyDescent="0.2">
      <c r="A1" s="67" t="s">
        <v>30</v>
      </c>
      <c r="B1" s="67"/>
      <c r="C1" s="67"/>
      <c r="D1" s="67"/>
      <c r="E1" s="67"/>
      <c r="F1" s="67"/>
      <c r="G1" s="67"/>
      <c r="H1" s="67"/>
      <c r="I1" s="67"/>
      <c r="J1" s="104" t="s">
        <v>23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</row>
    <row r="2" spans="1:34" x14ac:dyDescent="0.2">
      <c r="A2" s="17" t="s">
        <v>12</v>
      </c>
      <c r="B2" s="18"/>
      <c r="C2" s="17"/>
      <c r="D2" s="19"/>
      <c r="E2" s="71" t="s">
        <v>7</v>
      </c>
      <c r="F2" s="72"/>
      <c r="G2" s="73"/>
      <c r="H2" s="31" t="s">
        <v>8</v>
      </c>
      <c r="I2" s="29">
        <v>46224</v>
      </c>
      <c r="J2" s="117" t="s">
        <v>10</v>
      </c>
      <c r="K2" s="117"/>
      <c r="L2" s="117"/>
      <c r="M2" s="117"/>
      <c r="N2" s="117"/>
      <c r="O2" s="117"/>
      <c r="P2" s="117"/>
      <c r="Q2" s="117"/>
      <c r="R2" s="114" t="s">
        <v>35</v>
      </c>
      <c r="S2" s="114"/>
      <c r="T2" s="114"/>
      <c r="U2" s="114"/>
      <c r="V2" s="114"/>
      <c r="W2" s="114"/>
      <c r="X2" s="114"/>
      <c r="Y2" s="114"/>
      <c r="Z2" s="114"/>
      <c r="AA2" s="114"/>
    </row>
    <row r="3" spans="1:34" x14ac:dyDescent="0.2">
      <c r="A3" s="13" t="s">
        <v>4</v>
      </c>
      <c r="B3" s="74" t="s">
        <v>81</v>
      </c>
      <c r="C3" s="75"/>
      <c r="D3" s="76"/>
      <c r="E3" s="74"/>
      <c r="F3" s="75"/>
      <c r="G3" s="76"/>
      <c r="H3" s="32" t="s">
        <v>9</v>
      </c>
      <c r="I3" s="28"/>
      <c r="J3" s="118" t="s">
        <v>44</v>
      </c>
      <c r="K3" s="118"/>
      <c r="L3" s="118"/>
      <c r="M3" s="118"/>
      <c r="N3" s="118"/>
      <c r="O3" s="118"/>
      <c r="P3" s="118"/>
      <c r="Q3" s="118"/>
      <c r="R3" s="115" t="s">
        <v>36</v>
      </c>
      <c r="S3" s="115"/>
      <c r="T3" s="115"/>
      <c r="U3" s="115"/>
      <c r="V3" s="115"/>
      <c r="W3" s="115"/>
      <c r="X3" s="115"/>
      <c r="Y3" s="115"/>
      <c r="Z3" s="115"/>
      <c r="AA3" s="115"/>
    </row>
    <row r="4" spans="1:34" ht="15" customHeight="1" x14ac:dyDescent="0.2">
      <c r="A4" s="13" t="s">
        <v>2</v>
      </c>
      <c r="B4" s="74"/>
      <c r="C4" s="75"/>
      <c r="D4" s="76"/>
      <c r="E4" s="74"/>
      <c r="F4" s="75"/>
      <c r="G4" s="76"/>
      <c r="H4" s="32" t="s">
        <v>11</v>
      </c>
      <c r="I4" s="30">
        <v>0.5</v>
      </c>
      <c r="J4" s="119" t="s">
        <v>21</v>
      </c>
      <c r="K4" s="119"/>
      <c r="L4" s="119"/>
      <c r="M4" s="119"/>
      <c r="N4" s="119"/>
      <c r="O4" s="119"/>
      <c r="P4" s="119"/>
      <c r="Q4" s="119"/>
      <c r="R4" s="109" t="s">
        <v>42</v>
      </c>
      <c r="S4" s="109"/>
      <c r="T4" s="109"/>
      <c r="U4" s="109"/>
      <c r="V4" s="109"/>
      <c r="W4" s="109"/>
      <c r="X4" s="109"/>
      <c r="Y4" s="109"/>
      <c r="Z4" s="109"/>
      <c r="AA4" s="109"/>
    </row>
    <row r="5" spans="1:34" x14ac:dyDescent="0.2">
      <c r="A5" s="13" t="s">
        <v>5</v>
      </c>
      <c r="B5" s="74" t="s">
        <v>226</v>
      </c>
      <c r="C5" s="75"/>
      <c r="D5" s="75"/>
      <c r="E5" s="75"/>
      <c r="F5" s="75"/>
      <c r="G5" s="76"/>
      <c r="H5" s="33" t="s">
        <v>3</v>
      </c>
      <c r="I5" s="34"/>
      <c r="J5" s="120" t="s">
        <v>31</v>
      </c>
      <c r="K5" s="120"/>
      <c r="L5" s="120"/>
      <c r="M5" s="120"/>
      <c r="N5" s="120"/>
      <c r="O5" s="120"/>
      <c r="P5" s="120"/>
      <c r="Q5" s="120"/>
      <c r="R5" s="109"/>
      <c r="S5" s="109"/>
      <c r="T5" s="109"/>
      <c r="U5" s="109"/>
      <c r="V5" s="109"/>
      <c r="W5" s="109"/>
      <c r="X5" s="109"/>
      <c r="Y5" s="109"/>
      <c r="Z5" s="109"/>
      <c r="AA5" s="109"/>
    </row>
    <row r="6" spans="1:34" x14ac:dyDescent="0.2">
      <c r="A6" s="13" t="s">
        <v>6</v>
      </c>
      <c r="B6" s="121" t="s">
        <v>43</v>
      </c>
      <c r="C6" s="121"/>
      <c r="D6" s="121"/>
      <c r="E6" s="121"/>
      <c r="F6" s="121"/>
      <c r="G6" s="121"/>
      <c r="H6" s="121"/>
      <c r="I6" s="121"/>
      <c r="J6" s="121"/>
      <c r="K6" s="58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/>
    </row>
    <row r="7" spans="1:34" s="2" customFormat="1" x14ac:dyDescent="0.2">
      <c r="A7" s="13" t="s">
        <v>24</v>
      </c>
      <c r="B7" s="20" t="s">
        <v>19</v>
      </c>
      <c r="C7" s="21" t="s">
        <v>79</v>
      </c>
      <c r="D7" s="20" t="s">
        <v>25</v>
      </c>
      <c r="E7" s="22" t="s">
        <v>80</v>
      </c>
      <c r="F7" s="20" t="s">
        <v>26</v>
      </c>
      <c r="G7" s="22" t="s">
        <v>80</v>
      </c>
      <c r="H7" s="20" t="s">
        <v>27</v>
      </c>
      <c r="I7" s="36" t="s">
        <v>39</v>
      </c>
      <c r="J7" s="35"/>
      <c r="K7" s="61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3"/>
    </row>
    <row r="8" spans="1:34" ht="36" customHeight="1" x14ac:dyDescent="0.2">
      <c r="A8" s="14" t="s">
        <v>20</v>
      </c>
      <c r="B8" s="77" t="s">
        <v>15</v>
      </c>
      <c r="C8" s="78"/>
      <c r="D8" s="78"/>
      <c r="E8" s="79"/>
      <c r="F8" s="25" t="s">
        <v>0</v>
      </c>
      <c r="G8" s="25" t="s">
        <v>1</v>
      </c>
      <c r="H8" s="25" t="s">
        <v>13</v>
      </c>
      <c r="I8" s="26"/>
      <c r="J8" s="27" t="s">
        <v>14</v>
      </c>
      <c r="K8" s="64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6"/>
      <c r="AB8" s="24"/>
      <c r="AC8" s="24"/>
      <c r="AD8" s="24"/>
      <c r="AE8" s="23"/>
      <c r="AF8" s="23"/>
      <c r="AG8" s="23"/>
      <c r="AH8" s="23"/>
    </row>
    <row r="9" spans="1:34" x14ac:dyDescent="0.2">
      <c r="A9" s="7">
        <f>'[1]ALS 10 BAZAR'!A9</f>
        <v>652</v>
      </c>
      <c r="B9" s="68" t="s">
        <v>82</v>
      </c>
      <c r="C9" s="69" t="s">
        <v>82</v>
      </c>
      <c r="D9" s="69" t="s">
        <v>82</v>
      </c>
      <c r="E9" s="70" t="s">
        <v>82</v>
      </c>
      <c r="F9" s="5">
        <v>6</v>
      </c>
      <c r="G9" s="5"/>
      <c r="H9" s="5">
        <f t="shared" ref="H9:H141" si="0">F9*G9</f>
        <v>0</v>
      </c>
      <c r="I9" s="4">
        <f>'[1]ALS 10 BAZAR'!I9</f>
        <v>4.7</v>
      </c>
      <c r="J9" s="8">
        <f>H9*I9</f>
        <v>0</v>
      </c>
      <c r="K9" s="86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8"/>
    </row>
    <row r="10" spans="1:34" x14ac:dyDescent="0.2">
      <c r="A10" s="7">
        <f>'[1]ALS 10 BAZAR'!A10</f>
        <v>653</v>
      </c>
      <c r="B10" s="68" t="s">
        <v>83</v>
      </c>
      <c r="C10" s="69" t="s">
        <v>83</v>
      </c>
      <c r="D10" s="69" t="s">
        <v>83</v>
      </c>
      <c r="E10" s="70" t="s">
        <v>83</v>
      </c>
      <c r="F10" s="5">
        <v>6</v>
      </c>
      <c r="G10" s="5"/>
      <c r="H10" s="5">
        <f t="shared" si="0"/>
        <v>0</v>
      </c>
      <c r="I10" s="4">
        <f>'[1]ALS 10 BAZAR'!I10</f>
        <v>6.5</v>
      </c>
      <c r="J10" s="8">
        <f t="shared" ref="J10:J73" si="1">H10*I10</f>
        <v>0</v>
      </c>
      <c r="K10" s="89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1"/>
    </row>
    <row r="11" spans="1:34" x14ac:dyDescent="0.2">
      <c r="A11" s="7">
        <f>'[1]ALS 10 BAZAR'!A11</f>
        <v>654</v>
      </c>
      <c r="B11" s="68" t="s">
        <v>84</v>
      </c>
      <c r="C11" s="69" t="s">
        <v>84</v>
      </c>
      <c r="D11" s="69" t="s">
        <v>84</v>
      </c>
      <c r="E11" s="70" t="s">
        <v>84</v>
      </c>
      <c r="F11" s="5">
        <v>6</v>
      </c>
      <c r="G11" s="5"/>
      <c r="H11" s="5">
        <f t="shared" si="0"/>
        <v>0</v>
      </c>
      <c r="I11" s="4">
        <f>'[1]ALS 10 BAZAR'!I11</f>
        <v>6.5</v>
      </c>
      <c r="J11" s="8">
        <f t="shared" si="1"/>
        <v>0</v>
      </c>
      <c r="K11" s="89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1"/>
    </row>
    <row r="12" spans="1:34" x14ac:dyDescent="0.2">
      <c r="A12" s="7">
        <f>'[1]ALS 10 BAZAR'!A12</f>
        <v>655</v>
      </c>
      <c r="B12" s="68" t="s">
        <v>85</v>
      </c>
      <c r="C12" s="69" t="s">
        <v>85</v>
      </c>
      <c r="D12" s="69" t="s">
        <v>85</v>
      </c>
      <c r="E12" s="70" t="s">
        <v>85</v>
      </c>
      <c r="F12" s="5">
        <v>6</v>
      </c>
      <c r="G12" s="5"/>
      <c r="H12" s="5">
        <f t="shared" si="0"/>
        <v>0</v>
      </c>
      <c r="I12" s="4">
        <f>'[1]ALS 10 BAZAR'!I12</f>
        <v>6.5</v>
      </c>
      <c r="J12" s="8">
        <f t="shared" si="1"/>
        <v>0</v>
      </c>
      <c r="K12" s="89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</row>
    <row r="13" spans="1:34" x14ac:dyDescent="0.2">
      <c r="A13" s="7">
        <f>'[1]ALS 10 BAZAR'!A13</f>
        <v>656</v>
      </c>
      <c r="B13" s="68" t="s">
        <v>86</v>
      </c>
      <c r="C13" s="69" t="s">
        <v>86</v>
      </c>
      <c r="D13" s="69" t="s">
        <v>86</v>
      </c>
      <c r="E13" s="70" t="s">
        <v>86</v>
      </c>
      <c r="F13" s="5">
        <v>6</v>
      </c>
      <c r="G13" s="5"/>
      <c r="H13" s="5">
        <f t="shared" si="0"/>
        <v>0</v>
      </c>
      <c r="I13" s="4">
        <f>'[1]ALS 10 BAZAR'!I13</f>
        <v>7.4</v>
      </c>
      <c r="J13" s="8">
        <f t="shared" si="1"/>
        <v>0</v>
      </c>
      <c r="K13" s="89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1"/>
    </row>
    <row r="14" spans="1:34" x14ac:dyDescent="0.2">
      <c r="A14" s="7">
        <f>'[1]ALS 10 BAZAR'!A14</f>
        <v>657</v>
      </c>
      <c r="B14" s="68" t="s">
        <v>87</v>
      </c>
      <c r="C14" s="69" t="s">
        <v>87</v>
      </c>
      <c r="D14" s="69" t="s">
        <v>87</v>
      </c>
      <c r="E14" s="70" t="s">
        <v>87</v>
      </c>
      <c r="F14" s="5">
        <v>6</v>
      </c>
      <c r="G14" s="5"/>
      <c r="H14" s="5">
        <f t="shared" si="0"/>
        <v>0</v>
      </c>
      <c r="I14" s="4">
        <f>'[1]ALS 10 BAZAR'!I14</f>
        <v>6.2</v>
      </c>
      <c r="J14" s="8">
        <f t="shared" si="1"/>
        <v>0</v>
      </c>
      <c r="K14" s="89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1"/>
    </row>
    <row r="15" spans="1:34" x14ac:dyDescent="0.2">
      <c r="A15" s="7">
        <f>'[1]ALS 10 BAZAR'!A15</f>
        <v>659</v>
      </c>
      <c r="B15" s="68" t="s">
        <v>88</v>
      </c>
      <c r="C15" s="69" t="s">
        <v>88</v>
      </c>
      <c r="D15" s="69" t="s">
        <v>88</v>
      </c>
      <c r="E15" s="70" t="s">
        <v>88</v>
      </c>
      <c r="F15" s="5">
        <v>6</v>
      </c>
      <c r="G15" s="5"/>
      <c r="H15" s="5">
        <f t="shared" si="0"/>
        <v>0</v>
      </c>
      <c r="I15" s="4">
        <f>'[1]ALS 10 BAZAR'!I15</f>
        <v>6.8</v>
      </c>
      <c r="J15" s="8">
        <f t="shared" si="1"/>
        <v>0</v>
      </c>
      <c r="K15" s="89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1"/>
    </row>
    <row r="16" spans="1:34" x14ac:dyDescent="0.2">
      <c r="A16" s="7">
        <f>'[1]ALS 10 BAZAR'!A16</f>
        <v>660</v>
      </c>
      <c r="B16" s="68" t="s">
        <v>89</v>
      </c>
      <c r="C16" s="69" t="s">
        <v>89</v>
      </c>
      <c r="D16" s="69" t="s">
        <v>89</v>
      </c>
      <c r="E16" s="70" t="s">
        <v>89</v>
      </c>
      <c r="F16" s="5">
        <v>6</v>
      </c>
      <c r="G16" s="5"/>
      <c r="H16" s="5">
        <f t="shared" si="0"/>
        <v>0</v>
      </c>
      <c r="I16" s="4">
        <f>'[1]ALS 10 BAZAR'!I16</f>
        <v>6.7</v>
      </c>
      <c r="J16" s="8">
        <f t="shared" si="1"/>
        <v>0</v>
      </c>
      <c r="K16" s="89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1"/>
    </row>
    <row r="17" spans="1:27" x14ac:dyDescent="0.2">
      <c r="A17" s="7">
        <f>'[1]ALS 10 BAZAR'!A17</f>
        <v>661</v>
      </c>
      <c r="B17" s="68" t="s">
        <v>90</v>
      </c>
      <c r="C17" s="69" t="s">
        <v>90</v>
      </c>
      <c r="D17" s="69" t="s">
        <v>90</v>
      </c>
      <c r="E17" s="70" t="s">
        <v>90</v>
      </c>
      <c r="F17" s="5">
        <v>6</v>
      </c>
      <c r="G17" s="5"/>
      <c r="H17" s="5">
        <f t="shared" si="0"/>
        <v>0</v>
      </c>
      <c r="I17" s="4">
        <f>'[1]ALS 10 BAZAR'!I17</f>
        <v>6.7</v>
      </c>
      <c r="J17" s="8">
        <f t="shared" si="1"/>
        <v>0</v>
      </c>
      <c r="K17" s="89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1"/>
    </row>
    <row r="18" spans="1:27" x14ac:dyDescent="0.2">
      <c r="A18" s="7">
        <f>'[1]ALS 10 BAZAR'!A18</f>
        <v>662</v>
      </c>
      <c r="B18" s="68" t="s">
        <v>91</v>
      </c>
      <c r="C18" s="69" t="s">
        <v>91</v>
      </c>
      <c r="D18" s="69" t="s">
        <v>91</v>
      </c>
      <c r="E18" s="70" t="s">
        <v>91</v>
      </c>
      <c r="F18" s="5">
        <v>6</v>
      </c>
      <c r="G18" s="5"/>
      <c r="H18" s="5">
        <f t="shared" si="0"/>
        <v>0</v>
      </c>
      <c r="I18" s="4">
        <f>'[1]ALS 10 BAZAR'!I18</f>
        <v>5.7</v>
      </c>
      <c r="J18" s="8">
        <f t="shared" si="1"/>
        <v>0</v>
      </c>
      <c r="K18" s="89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1"/>
    </row>
    <row r="19" spans="1:27" x14ac:dyDescent="0.2">
      <c r="A19" s="7">
        <f>'[1]ALS 10 BAZAR'!A19</f>
        <v>664</v>
      </c>
      <c r="B19" s="68" t="s">
        <v>92</v>
      </c>
      <c r="C19" s="69" t="s">
        <v>92</v>
      </c>
      <c r="D19" s="69" t="s">
        <v>92</v>
      </c>
      <c r="E19" s="70" t="s">
        <v>92</v>
      </c>
      <c r="F19" s="5">
        <v>6</v>
      </c>
      <c r="G19" s="5"/>
      <c r="H19" s="5">
        <f t="shared" si="0"/>
        <v>0</v>
      </c>
      <c r="I19" s="4">
        <f>'[1]ALS 10 BAZAR'!I19</f>
        <v>6.2</v>
      </c>
      <c r="J19" s="8">
        <f t="shared" si="1"/>
        <v>0</v>
      </c>
      <c r="K19" s="89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1"/>
    </row>
    <row r="20" spans="1:27" x14ac:dyDescent="0.2">
      <c r="A20" s="7">
        <f>'[1]ALS 10 BAZAR'!A20</f>
        <v>665</v>
      </c>
      <c r="B20" s="68" t="s">
        <v>93</v>
      </c>
      <c r="C20" s="69" t="s">
        <v>93</v>
      </c>
      <c r="D20" s="69" t="s">
        <v>93</v>
      </c>
      <c r="E20" s="70" t="s">
        <v>93</v>
      </c>
      <c r="F20" s="5">
        <v>6</v>
      </c>
      <c r="G20" s="5"/>
      <c r="H20" s="5">
        <f t="shared" si="0"/>
        <v>0</v>
      </c>
      <c r="I20" s="4">
        <f>'[1]ALS 10 BAZAR'!I20</f>
        <v>6.2</v>
      </c>
      <c r="J20" s="8">
        <f t="shared" si="1"/>
        <v>0</v>
      </c>
      <c r="K20" s="89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1"/>
    </row>
    <row r="21" spans="1:27" x14ac:dyDescent="0.2">
      <c r="A21" s="7">
        <f>'[1]ALS 10 BAZAR'!A21</f>
        <v>666</v>
      </c>
      <c r="B21" s="68" t="s">
        <v>94</v>
      </c>
      <c r="C21" s="69" t="s">
        <v>94</v>
      </c>
      <c r="D21" s="69" t="s">
        <v>94</v>
      </c>
      <c r="E21" s="70" t="s">
        <v>94</v>
      </c>
      <c r="F21" s="5">
        <v>6</v>
      </c>
      <c r="G21" s="5"/>
      <c r="H21" s="5">
        <f t="shared" si="0"/>
        <v>0</v>
      </c>
      <c r="I21" s="4">
        <f>'[1]ALS 10 BAZAR'!I21</f>
        <v>6.2</v>
      </c>
      <c r="J21" s="8">
        <f t="shared" si="1"/>
        <v>0</v>
      </c>
      <c r="K21" s="89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</row>
    <row r="22" spans="1:27" x14ac:dyDescent="0.2">
      <c r="A22" s="7">
        <f>'[1]ALS 10 BAZAR'!A22</f>
        <v>667</v>
      </c>
      <c r="B22" s="68" t="s">
        <v>95</v>
      </c>
      <c r="C22" s="69" t="s">
        <v>95</v>
      </c>
      <c r="D22" s="69" t="s">
        <v>95</v>
      </c>
      <c r="E22" s="70" t="s">
        <v>95</v>
      </c>
      <c r="F22" s="5">
        <v>6</v>
      </c>
      <c r="G22" s="5"/>
      <c r="H22" s="5">
        <f t="shared" si="0"/>
        <v>0</v>
      </c>
      <c r="I22" s="4">
        <f>'[1]ALS 10 BAZAR'!I22</f>
        <v>6.2</v>
      </c>
      <c r="J22" s="8">
        <f t="shared" si="1"/>
        <v>0</v>
      </c>
      <c r="K22" s="89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1"/>
    </row>
    <row r="23" spans="1:27" x14ac:dyDescent="0.2">
      <c r="A23" s="7">
        <f>'[1]ALS 10 BAZAR'!A23</f>
        <v>668</v>
      </c>
      <c r="B23" s="68" t="s">
        <v>96</v>
      </c>
      <c r="C23" s="69" t="s">
        <v>96</v>
      </c>
      <c r="D23" s="69" t="s">
        <v>96</v>
      </c>
      <c r="E23" s="70" t="s">
        <v>96</v>
      </c>
      <c r="F23" s="5">
        <v>6</v>
      </c>
      <c r="G23" s="5"/>
      <c r="H23" s="5">
        <f t="shared" si="0"/>
        <v>0</v>
      </c>
      <c r="I23" s="4">
        <f>'[1]ALS 10 BAZAR'!I23</f>
        <v>6.2</v>
      </c>
      <c r="J23" s="8">
        <f t="shared" si="1"/>
        <v>0</v>
      </c>
      <c r="K23" s="89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1"/>
    </row>
    <row r="24" spans="1:27" x14ac:dyDescent="0.2">
      <c r="A24" s="7">
        <f>'[1]ALS 10 BAZAR'!A24</f>
        <v>669</v>
      </c>
      <c r="B24" s="68" t="s">
        <v>97</v>
      </c>
      <c r="C24" s="69" t="s">
        <v>97</v>
      </c>
      <c r="D24" s="69" t="s">
        <v>97</v>
      </c>
      <c r="E24" s="70" t="s">
        <v>97</v>
      </c>
      <c r="F24" s="5">
        <v>6</v>
      </c>
      <c r="G24" s="5"/>
      <c r="H24" s="5">
        <f t="shared" si="0"/>
        <v>0</v>
      </c>
      <c r="I24" s="4">
        <f>'[1]ALS 10 BAZAR'!I24</f>
        <v>6.2</v>
      </c>
      <c r="J24" s="8">
        <f t="shared" si="1"/>
        <v>0</v>
      </c>
      <c r="K24" s="89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1"/>
    </row>
    <row r="25" spans="1:27" x14ac:dyDescent="0.2">
      <c r="A25" s="7">
        <f>'[1]ALS 10 BAZAR'!A25</f>
        <v>1418</v>
      </c>
      <c r="B25" s="68" t="s">
        <v>98</v>
      </c>
      <c r="C25" s="69" t="s">
        <v>98</v>
      </c>
      <c r="D25" s="69" t="s">
        <v>98</v>
      </c>
      <c r="E25" s="70" t="s">
        <v>98</v>
      </c>
      <c r="F25" s="5">
        <v>6</v>
      </c>
      <c r="G25" s="5"/>
      <c r="H25" s="5">
        <f t="shared" si="0"/>
        <v>0</v>
      </c>
      <c r="I25" s="4">
        <f>'[1]ALS 10 BAZAR'!I25</f>
        <v>6.7</v>
      </c>
      <c r="J25" s="8">
        <f t="shared" si="1"/>
        <v>0</v>
      </c>
      <c r="K25" s="89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1"/>
    </row>
    <row r="26" spans="1:27" x14ac:dyDescent="0.2">
      <c r="A26" s="7">
        <f>'[1]ALS 10 BAZAR'!A26</f>
        <v>1425</v>
      </c>
      <c r="B26" s="68" t="s">
        <v>99</v>
      </c>
      <c r="C26" s="69" t="s">
        <v>99</v>
      </c>
      <c r="D26" s="69" t="s">
        <v>99</v>
      </c>
      <c r="E26" s="70" t="s">
        <v>99</v>
      </c>
      <c r="F26" s="5">
        <v>6</v>
      </c>
      <c r="G26" s="5"/>
      <c r="H26" s="5">
        <f t="shared" si="0"/>
        <v>0</v>
      </c>
      <c r="I26" s="4"/>
      <c r="J26" s="8">
        <f t="shared" si="1"/>
        <v>0</v>
      </c>
      <c r="K26" s="89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1"/>
    </row>
    <row r="27" spans="1:27" x14ac:dyDescent="0.2">
      <c r="A27" s="7">
        <f>'[1]ALS 10 BAZAR'!A27</f>
        <v>1370</v>
      </c>
      <c r="B27" s="68" t="s">
        <v>100</v>
      </c>
      <c r="C27" s="69" t="s">
        <v>100</v>
      </c>
      <c r="D27" s="69" t="s">
        <v>100</v>
      </c>
      <c r="E27" s="70" t="s">
        <v>100</v>
      </c>
      <c r="F27" s="5">
        <v>6</v>
      </c>
      <c r="G27" s="5"/>
      <c r="H27" s="5">
        <f t="shared" si="0"/>
        <v>0</v>
      </c>
      <c r="I27" s="4">
        <f>'[1]ALS 10 BAZAR'!I27</f>
        <v>6.6</v>
      </c>
      <c r="J27" s="8">
        <f t="shared" si="1"/>
        <v>0</v>
      </c>
      <c r="K27" s="89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1"/>
    </row>
    <row r="28" spans="1:27" x14ac:dyDescent="0.2">
      <c r="A28" s="7">
        <f>'[1]ALS 10 BAZAR'!A28</f>
        <v>1423</v>
      </c>
      <c r="B28" s="68" t="s">
        <v>101</v>
      </c>
      <c r="C28" s="69" t="s">
        <v>101</v>
      </c>
      <c r="D28" s="69" t="s">
        <v>101</v>
      </c>
      <c r="E28" s="70" t="s">
        <v>101</v>
      </c>
      <c r="F28" s="5">
        <v>6</v>
      </c>
      <c r="G28" s="5"/>
      <c r="H28" s="5">
        <f t="shared" si="0"/>
        <v>0</v>
      </c>
      <c r="I28" s="4">
        <f>'[1]ALS 10 BAZAR'!I28</f>
        <v>5.45</v>
      </c>
      <c r="J28" s="8">
        <f t="shared" si="1"/>
        <v>0</v>
      </c>
      <c r="K28" s="89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1"/>
    </row>
    <row r="29" spans="1:27" x14ac:dyDescent="0.2">
      <c r="A29" s="7">
        <f>'[1]ALS 10 BAZAR'!A29</f>
        <v>1419</v>
      </c>
      <c r="B29" s="68" t="s">
        <v>102</v>
      </c>
      <c r="C29" s="69" t="s">
        <v>102</v>
      </c>
      <c r="D29" s="69" t="s">
        <v>102</v>
      </c>
      <c r="E29" s="70" t="s">
        <v>102</v>
      </c>
      <c r="F29" s="5">
        <v>6</v>
      </c>
      <c r="G29" s="5"/>
      <c r="H29" s="5">
        <f t="shared" si="0"/>
        <v>0</v>
      </c>
      <c r="I29" s="4">
        <f>'[1]ALS 10 BAZAR'!I29</f>
        <v>5.45</v>
      </c>
      <c r="J29" s="8">
        <f t="shared" si="1"/>
        <v>0</v>
      </c>
      <c r="K29" s="89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1"/>
    </row>
    <row r="30" spans="1:27" x14ac:dyDescent="0.2">
      <c r="A30" s="7">
        <f>'[1]ALS 10 BAZAR'!A30</f>
        <v>1424</v>
      </c>
      <c r="B30" s="68" t="s">
        <v>103</v>
      </c>
      <c r="C30" s="69" t="s">
        <v>103</v>
      </c>
      <c r="D30" s="69" t="s">
        <v>103</v>
      </c>
      <c r="E30" s="70" t="s">
        <v>103</v>
      </c>
      <c r="F30" s="5">
        <v>6</v>
      </c>
      <c r="G30" s="5"/>
      <c r="H30" s="5">
        <f t="shared" si="0"/>
        <v>0</v>
      </c>
      <c r="I30" s="4">
        <f>'[1]ALS 10 BAZAR'!I30</f>
        <v>5.45</v>
      </c>
      <c r="J30" s="8">
        <f t="shared" si="1"/>
        <v>0</v>
      </c>
      <c r="K30" s="89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1"/>
    </row>
    <row r="31" spans="1:27" x14ac:dyDescent="0.2">
      <c r="A31" s="7">
        <f>'[1]ALS 10 BAZAR'!A31</f>
        <v>1421</v>
      </c>
      <c r="B31" s="68" t="s">
        <v>104</v>
      </c>
      <c r="C31" s="69" t="s">
        <v>104</v>
      </c>
      <c r="D31" s="69" t="s">
        <v>104</v>
      </c>
      <c r="E31" s="70" t="s">
        <v>104</v>
      </c>
      <c r="F31" s="5">
        <v>6</v>
      </c>
      <c r="G31" s="5"/>
      <c r="H31" s="5">
        <f t="shared" si="0"/>
        <v>0</v>
      </c>
      <c r="I31" s="4">
        <f>'[1]ALS 10 BAZAR'!I31</f>
        <v>5.45</v>
      </c>
      <c r="J31" s="8">
        <f t="shared" si="1"/>
        <v>0</v>
      </c>
      <c r="K31" s="89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1"/>
    </row>
    <row r="32" spans="1:27" x14ac:dyDescent="0.2">
      <c r="A32" s="7">
        <f>'[1]ALS 10 BAZAR'!A32</f>
        <v>1422</v>
      </c>
      <c r="B32" s="68" t="s">
        <v>105</v>
      </c>
      <c r="C32" s="69" t="s">
        <v>105</v>
      </c>
      <c r="D32" s="69" t="s">
        <v>105</v>
      </c>
      <c r="E32" s="70" t="s">
        <v>105</v>
      </c>
      <c r="F32" s="5">
        <v>6</v>
      </c>
      <c r="G32" s="5"/>
      <c r="H32" s="5">
        <f t="shared" si="0"/>
        <v>0</v>
      </c>
      <c r="I32" s="4">
        <f>'[1]ALS 10 BAZAR'!I32</f>
        <v>5.45</v>
      </c>
      <c r="J32" s="8">
        <f t="shared" si="1"/>
        <v>0</v>
      </c>
      <c r="K32" s="89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1"/>
    </row>
    <row r="33" spans="1:27" x14ac:dyDescent="0.2">
      <c r="A33" s="7">
        <f>'[1]ALS 10 BAZAR'!A33</f>
        <v>1420</v>
      </c>
      <c r="B33" s="68" t="s">
        <v>106</v>
      </c>
      <c r="C33" s="69" t="s">
        <v>106</v>
      </c>
      <c r="D33" s="69" t="s">
        <v>106</v>
      </c>
      <c r="E33" s="70" t="s">
        <v>106</v>
      </c>
      <c r="F33" s="5">
        <v>6</v>
      </c>
      <c r="G33" s="5"/>
      <c r="H33" s="5">
        <f t="shared" si="0"/>
        <v>0</v>
      </c>
      <c r="I33" s="4">
        <f>'[1]ALS 10 BAZAR'!I33</f>
        <v>5.45</v>
      </c>
      <c r="J33" s="8">
        <f t="shared" si="1"/>
        <v>0</v>
      </c>
      <c r="K33" s="89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1"/>
    </row>
    <row r="34" spans="1:27" x14ac:dyDescent="0.2">
      <c r="A34" s="7">
        <f>'[1]ALS 10 BAZAR'!A34</f>
        <v>1893</v>
      </c>
      <c r="B34" s="68" t="s">
        <v>107</v>
      </c>
      <c r="C34" s="69" t="s">
        <v>107</v>
      </c>
      <c r="D34" s="69" t="s">
        <v>107</v>
      </c>
      <c r="E34" s="70" t="s">
        <v>107</v>
      </c>
      <c r="F34" s="5">
        <v>6</v>
      </c>
      <c r="G34" s="5"/>
      <c r="H34" s="5">
        <f t="shared" si="0"/>
        <v>0</v>
      </c>
      <c r="I34" s="4">
        <f>'[1]ALS 10 BAZAR'!I34</f>
        <v>6.7</v>
      </c>
      <c r="J34" s="8">
        <f t="shared" si="1"/>
        <v>0</v>
      </c>
      <c r="K34" s="89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1"/>
    </row>
    <row r="35" spans="1:27" x14ac:dyDescent="0.2">
      <c r="A35" s="7">
        <f>'[1]ALS 10 BAZAR'!A35</f>
        <v>1365</v>
      </c>
      <c r="B35" s="68" t="s">
        <v>108</v>
      </c>
      <c r="C35" s="69" t="s">
        <v>108</v>
      </c>
      <c r="D35" s="69" t="s">
        <v>108</v>
      </c>
      <c r="E35" s="70" t="s">
        <v>108</v>
      </c>
      <c r="F35" s="5">
        <v>6</v>
      </c>
      <c r="G35" s="5"/>
      <c r="H35" s="5">
        <f t="shared" si="0"/>
        <v>0</v>
      </c>
      <c r="I35" s="4">
        <f>'[1]ALS 10 BAZAR'!I35</f>
        <v>6.9</v>
      </c>
      <c r="J35" s="8">
        <f t="shared" si="1"/>
        <v>0</v>
      </c>
      <c r="K35" s="89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1"/>
    </row>
    <row r="36" spans="1:27" x14ac:dyDescent="0.2">
      <c r="A36" s="7">
        <f>'[1]ALS 10 BAZAR'!A36</f>
        <v>1892</v>
      </c>
      <c r="B36" s="68" t="s">
        <v>109</v>
      </c>
      <c r="C36" s="69" t="s">
        <v>109</v>
      </c>
      <c r="D36" s="69" t="s">
        <v>109</v>
      </c>
      <c r="E36" s="70" t="s">
        <v>109</v>
      </c>
      <c r="F36" s="5">
        <v>6</v>
      </c>
      <c r="G36" s="5"/>
      <c r="H36" s="5">
        <f t="shared" si="0"/>
        <v>0</v>
      </c>
      <c r="I36" s="4">
        <f>'[1]ALS 10 BAZAR'!I36</f>
        <v>6.9</v>
      </c>
      <c r="J36" s="8">
        <f t="shared" si="1"/>
        <v>0</v>
      </c>
      <c r="K36" s="89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1"/>
    </row>
    <row r="37" spans="1:27" x14ac:dyDescent="0.2">
      <c r="A37" s="7">
        <f>'[1]ALS 10 BAZAR'!A37</f>
        <v>1887</v>
      </c>
      <c r="B37" s="68" t="s">
        <v>110</v>
      </c>
      <c r="C37" s="69" t="s">
        <v>110</v>
      </c>
      <c r="D37" s="69" t="s">
        <v>110</v>
      </c>
      <c r="E37" s="70" t="s">
        <v>110</v>
      </c>
      <c r="F37" s="5">
        <v>6</v>
      </c>
      <c r="G37" s="5"/>
      <c r="H37" s="5">
        <f t="shared" si="0"/>
        <v>0</v>
      </c>
      <c r="I37" s="4">
        <f>'[1]ALS 10 BAZAR'!I37</f>
        <v>6.3</v>
      </c>
      <c r="J37" s="8">
        <f t="shared" si="1"/>
        <v>0</v>
      </c>
      <c r="K37" s="89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1"/>
    </row>
    <row r="38" spans="1:27" x14ac:dyDescent="0.2">
      <c r="A38" s="7">
        <f>'[1]ALS 10 BAZAR'!A38</f>
        <v>996</v>
      </c>
      <c r="B38" s="68" t="s">
        <v>111</v>
      </c>
      <c r="C38" s="69" t="s">
        <v>111</v>
      </c>
      <c r="D38" s="69" t="s">
        <v>111</v>
      </c>
      <c r="E38" s="70" t="s">
        <v>111</v>
      </c>
      <c r="F38" s="5">
        <v>6</v>
      </c>
      <c r="G38" s="5"/>
      <c r="H38" s="5">
        <f t="shared" si="0"/>
        <v>0</v>
      </c>
      <c r="I38" s="4">
        <f>'[1]ALS 10 BAZAR'!I38</f>
        <v>5.5</v>
      </c>
      <c r="J38" s="8">
        <f t="shared" si="1"/>
        <v>0</v>
      </c>
      <c r="K38" s="89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1"/>
    </row>
    <row r="39" spans="1:27" x14ac:dyDescent="0.2">
      <c r="A39" s="7">
        <f>'[1]ALS 10 BAZAR'!A39</f>
        <v>994</v>
      </c>
      <c r="B39" s="68" t="s">
        <v>112</v>
      </c>
      <c r="C39" s="69" t="s">
        <v>112</v>
      </c>
      <c r="D39" s="69" t="s">
        <v>112</v>
      </c>
      <c r="E39" s="70" t="s">
        <v>112</v>
      </c>
      <c r="F39" s="5">
        <v>6</v>
      </c>
      <c r="G39" s="5"/>
      <c r="H39" s="5">
        <f t="shared" si="0"/>
        <v>0</v>
      </c>
      <c r="I39" s="4">
        <f>'[1]ALS 10 BAZAR'!I39</f>
        <v>5.9</v>
      </c>
      <c r="J39" s="8">
        <f t="shared" si="1"/>
        <v>0</v>
      </c>
      <c r="K39" s="89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1"/>
    </row>
    <row r="40" spans="1:27" x14ac:dyDescent="0.2">
      <c r="A40" s="7">
        <f>'[1]ALS 10 BAZAR'!A40</f>
        <v>1012</v>
      </c>
      <c r="B40" s="68" t="s">
        <v>113</v>
      </c>
      <c r="C40" s="69" t="s">
        <v>113</v>
      </c>
      <c r="D40" s="69" t="s">
        <v>113</v>
      </c>
      <c r="E40" s="70" t="s">
        <v>113</v>
      </c>
      <c r="F40" s="5">
        <v>6</v>
      </c>
      <c r="G40" s="5"/>
      <c r="H40" s="5">
        <f t="shared" si="0"/>
        <v>0</v>
      </c>
      <c r="I40" s="4">
        <f>'[1]ALS 10 BAZAR'!I40</f>
        <v>6.8</v>
      </c>
      <c r="J40" s="8">
        <f t="shared" si="1"/>
        <v>0</v>
      </c>
      <c r="K40" s="89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1"/>
    </row>
    <row r="41" spans="1:27" x14ac:dyDescent="0.2">
      <c r="A41" s="7">
        <f>'[1]ALS 10 BAZAR'!A41</f>
        <v>1014</v>
      </c>
      <c r="B41" s="68" t="s">
        <v>114</v>
      </c>
      <c r="C41" s="69" t="s">
        <v>114</v>
      </c>
      <c r="D41" s="69" t="s">
        <v>114</v>
      </c>
      <c r="E41" s="70" t="s">
        <v>114</v>
      </c>
      <c r="F41" s="5">
        <v>6</v>
      </c>
      <c r="G41" s="5"/>
      <c r="H41" s="5">
        <f t="shared" si="0"/>
        <v>0</v>
      </c>
      <c r="I41" s="4">
        <f>'[1]ALS 10 BAZAR'!I41</f>
        <v>5.7</v>
      </c>
      <c r="J41" s="8">
        <f t="shared" si="1"/>
        <v>0</v>
      </c>
      <c r="K41" s="89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1"/>
    </row>
    <row r="42" spans="1:27" x14ac:dyDescent="0.2">
      <c r="A42" s="7">
        <f>'[1]ALS 10 BAZAR'!A42</f>
        <v>1011</v>
      </c>
      <c r="B42" s="68" t="s">
        <v>115</v>
      </c>
      <c r="C42" s="69" t="s">
        <v>115</v>
      </c>
      <c r="D42" s="69" t="s">
        <v>115</v>
      </c>
      <c r="E42" s="70" t="s">
        <v>115</v>
      </c>
      <c r="F42" s="5">
        <v>6</v>
      </c>
      <c r="G42" s="5"/>
      <c r="H42" s="5">
        <f t="shared" si="0"/>
        <v>0</v>
      </c>
      <c r="I42" s="4">
        <f>'[1]ALS 10 BAZAR'!I42</f>
        <v>5.5</v>
      </c>
      <c r="J42" s="8">
        <f t="shared" si="1"/>
        <v>0</v>
      </c>
      <c r="K42" s="89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1"/>
    </row>
    <row r="43" spans="1:27" x14ac:dyDescent="0.2">
      <c r="A43" s="7">
        <f>'[1]ALS 10 BAZAR'!A43</f>
        <v>1013</v>
      </c>
      <c r="B43" s="68" t="s">
        <v>116</v>
      </c>
      <c r="C43" s="69" t="s">
        <v>116</v>
      </c>
      <c r="D43" s="69" t="s">
        <v>116</v>
      </c>
      <c r="E43" s="70" t="s">
        <v>116</v>
      </c>
      <c r="F43" s="5">
        <v>6</v>
      </c>
      <c r="G43" s="5"/>
      <c r="H43" s="5">
        <f t="shared" si="0"/>
        <v>0</v>
      </c>
      <c r="I43" s="4">
        <f>'[1]ALS 10 BAZAR'!I43</f>
        <v>7.3</v>
      </c>
      <c r="J43" s="8">
        <f t="shared" si="1"/>
        <v>0</v>
      </c>
      <c r="K43" s="89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1"/>
    </row>
    <row r="44" spans="1:27" x14ac:dyDescent="0.2">
      <c r="A44" s="7">
        <f>'[1]ALS 10 BAZAR'!A44</f>
        <v>1015</v>
      </c>
      <c r="B44" s="68" t="s">
        <v>117</v>
      </c>
      <c r="C44" s="69" t="s">
        <v>117</v>
      </c>
      <c r="D44" s="69" t="s">
        <v>117</v>
      </c>
      <c r="E44" s="70" t="s">
        <v>117</v>
      </c>
      <c r="F44" s="5">
        <v>6</v>
      </c>
      <c r="G44" s="5"/>
      <c r="H44" s="5">
        <f t="shared" si="0"/>
        <v>0</v>
      </c>
      <c r="I44" s="4">
        <f>'[1]ALS 10 BAZAR'!I44</f>
        <v>5.9</v>
      </c>
      <c r="J44" s="8">
        <f t="shared" si="1"/>
        <v>0</v>
      </c>
      <c r="K44" s="89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1"/>
    </row>
    <row r="45" spans="1:27" x14ac:dyDescent="0.2">
      <c r="A45" s="7">
        <f>'[1]ALS 10 BAZAR'!A45</f>
        <v>1122</v>
      </c>
      <c r="B45" s="68" t="s">
        <v>118</v>
      </c>
      <c r="C45" s="69" t="s">
        <v>118</v>
      </c>
      <c r="D45" s="69" t="s">
        <v>118</v>
      </c>
      <c r="E45" s="70" t="s">
        <v>118</v>
      </c>
      <c r="F45" s="5">
        <v>6</v>
      </c>
      <c r="G45" s="5"/>
      <c r="H45" s="5">
        <f t="shared" si="0"/>
        <v>0</v>
      </c>
      <c r="I45" s="4">
        <f>'[1]ALS 10 BAZAR'!I45</f>
        <v>5.9</v>
      </c>
      <c r="J45" s="8">
        <f t="shared" si="1"/>
        <v>0</v>
      </c>
      <c r="K45" s="89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1"/>
    </row>
    <row r="46" spans="1:27" x14ac:dyDescent="0.2">
      <c r="A46" s="7">
        <f>'[1]ALS 10 BAZAR'!A46</f>
        <v>1300</v>
      </c>
      <c r="B46" s="68" t="s">
        <v>119</v>
      </c>
      <c r="C46" s="69" t="s">
        <v>119</v>
      </c>
      <c r="D46" s="69" t="s">
        <v>119</v>
      </c>
      <c r="E46" s="70" t="s">
        <v>119</v>
      </c>
      <c r="F46" s="5">
        <v>6</v>
      </c>
      <c r="G46" s="5"/>
      <c r="H46" s="5">
        <f t="shared" si="0"/>
        <v>0</v>
      </c>
      <c r="I46" s="4">
        <f>'[1]ALS 10 BAZAR'!I46</f>
        <v>5.5</v>
      </c>
      <c r="J46" s="8">
        <f t="shared" si="1"/>
        <v>0</v>
      </c>
      <c r="K46" s="89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1"/>
    </row>
    <row r="47" spans="1:27" x14ac:dyDescent="0.2">
      <c r="A47" s="7">
        <f>'[1]ALS 10 BAZAR'!A47</f>
        <v>1789</v>
      </c>
      <c r="B47" s="68" t="s">
        <v>120</v>
      </c>
      <c r="C47" s="69" t="s">
        <v>120</v>
      </c>
      <c r="D47" s="69" t="s">
        <v>120</v>
      </c>
      <c r="E47" s="70" t="s">
        <v>120</v>
      </c>
      <c r="F47" s="5">
        <v>6</v>
      </c>
      <c r="G47" s="5"/>
      <c r="H47" s="5">
        <f t="shared" si="0"/>
        <v>0</v>
      </c>
      <c r="I47" s="4">
        <f>'[1]ALS 10 BAZAR'!I47</f>
        <v>5.5</v>
      </c>
      <c r="J47" s="8">
        <f t="shared" si="1"/>
        <v>0</v>
      </c>
      <c r="K47" s="89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1"/>
    </row>
    <row r="48" spans="1:27" x14ac:dyDescent="0.2">
      <c r="A48" s="7">
        <f>'[1]ALS 10 BAZAR'!A48</f>
        <v>989</v>
      </c>
      <c r="B48" s="68" t="s">
        <v>121</v>
      </c>
      <c r="C48" s="69" t="s">
        <v>121</v>
      </c>
      <c r="D48" s="69" t="s">
        <v>121</v>
      </c>
      <c r="E48" s="70" t="s">
        <v>121</v>
      </c>
      <c r="F48" s="5">
        <v>6</v>
      </c>
      <c r="G48" s="5"/>
      <c r="H48" s="5">
        <f t="shared" si="0"/>
        <v>0</v>
      </c>
      <c r="I48" s="4">
        <f>'[1]ALS 10 BAZAR'!I48</f>
        <v>5.5</v>
      </c>
      <c r="J48" s="8">
        <f t="shared" si="1"/>
        <v>0</v>
      </c>
      <c r="K48" s="89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1"/>
    </row>
    <row r="49" spans="1:27" x14ac:dyDescent="0.2">
      <c r="A49" s="7">
        <f>'[1]ALS 10 BAZAR'!A49</f>
        <v>1006</v>
      </c>
      <c r="B49" s="68" t="s">
        <v>122</v>
      </c>
      <c r="C49" s="69" t="s">
        <v>122</v>
      </c>
      <c r="D49" s="69" t="s">
        <v>122</v>
      </c>
      <c r="E49" s="70" t="s">
        <v>122</v>
      </c>
      <c r="F49" s="5">
        <v>6</v>
      </c>
      <c r="G49" s="5"/>
      <c r="H49" s="5">
        <f t="shared" si="0"/>
        <v>0</v>
      </c>
      <c r="I49" s="4">
        <f>'[1]ALS 10 BAZAR'!I49</f>
        <v>5.5</v>
      </c>
      <c r="J49" s="8">
        <f t="shared" si="1"/>
        <v>0</v>
      </c>
      <c r="K49" s="89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1"/>
    </row>
    <row r="50" spans="1:27" x14ac:dyDescent="0.2">
      <c r="A50" s="7">
        <f>'[1]ALS 10 BAZAR'!A50</f>
        <v>1792</v>
      </c>
      <c r="B50" s="68" t="s">
        <v>123</v>
      </c>
      <c r="C50" s="69" t="s">
        <v>123</v>
      </c>
      <c r="D50" s="69" t="s">
        <v>123</v>
      </c>
      <c r="E50" s="70" t="s">
        <v>123</v>
      </c>
      <c r="F50" s="5">
        <v>6</v>
      </c>
      <c r="G50" s="5"/>
      <c r="H50" s="5">
        <f t="shared" si="0"/>
        <v>0</v>
      </c>
      <c r="I50" s="4">
        <f>'[1]ALS 10 BAZAR'!I50</f>
        <v>5.5</v>
      </c>
      <c r="J50" s="8">
        <f t="shared" si="1"/>
        <v>0</v>
      </c>
      <c r="K50" s="89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1"/>
    </row>
    <row r="51" spans="1:27" x14ac:dyDescent="0.2">
      <c r="A51" s="7">
        <f>'[1]ALS 10 BAZAR'!A51</f>
        <v>998</v>
      </c>
      <c r="B51" s="68" t="s">
        <v>124</v>
      </c>
      <c r="C51" s="69" t="s">
        <v>124</v>
      </c>
      <c r="D51" s="69" t="s">
        <v>124</v>
      </c>
      <c r="E51" s="70" t="s">
        <v>124</v>
      </c>
      <c r="F51" s="5">
        <v>6</v>
      </c>
      <c r="G51" s="5"/>
      <c r="H51" s="5">
        <f t="shared" si="0"/>
        <v>0</v>
      </c>
      <c r="I51" s="4">
        <f>'[1]ALS 10 BAZAR'!I51</f>
        <v>5.5</v>
      </c>
      <c r="J51" s="8">
        <f t="shared" si="1"/>
        <v>0</v>
      </c>
      <c r="K51" s="89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1"/>
    </row>
    <row r="52" spans="1:27" x14ac:dyDescent="0.2">
      <c r="A52" s="7">
        <f>'[1]ALS 10 BAZAR'!A52</f>
        <v>1678</v>
      </c>
      <c r="B52" s="68" t="s">
        <v>125</v>
      </c>
      <c r="C52" s="69" t="s">
        <v>125</v>
      </c>
      <c r="D52" s="69" t="s">
        <v>125</v>
      </c>
      <c r="E52" s="70" t="s">
        <v>125</v>
      </c>
      <c r="F52" s="5">
        <v>6</v>
      </c>
      <c r="G52" s="5"/>
      <c r="H52" s="5">
        <f t="shared" si="0"/>
        <v>0</v>
      </c>
      <c r="I52" s="4">
        <f>'[1]ALS 10 BAZAR'!I52</f>
        <v>5.5</v>
      </c>
      <c r="J52" s="8">
        <f t="shared" si="1"/>
        <v>0</v>
      </c>
      <c r="K52" s="89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1"/>
    </row>
    <row r="53" spans="1:27" x14ac:dyDescent="0.2">
      <c r="A53" s="7">
        <f>'[1]ALS 10 BAZAR'!A53</f>
        <v>1002</v>
      </c>
      <c r="B53" s="68" t="s">
        <v>126</v>
      </c>
      <c r="C53" s="69" t="s">
        <v>126</v>
      </c>
      <c r="D53" s="69" t="s">
        <v>126</v>
      </c>
      <c r="E53" s="70" t="s">
        <v>126</v>
      </c>
      <c r="F53" s="5">
        <v>6</v>
      </c>
      <c r="G53" s="5"/>
      <c r="H53" s="5">
        <f t="shared" si="0"/>
        <v>0</v>
      </c>
      <c r="I53" s="4">
        <f>'[1]ALS 10 BAZAR'!I53</f>
        <v>5.9</v>
      </c>
      <c r="J53" s="8">
        <f t="shared" si="1"/>
        <v>0</v>
      </c>
      <c r="K53" s="89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1"/>
    </row>
    <row r="54" spans="1:27" x14ac:dyDescent="0.2">
      <c r="A54" s="7">
        <f>'[1]ALS 10 BAZAR'!A54</f>
        <v>1121</v>
      </c>
      <c r="B54" s="68" t="s">
        <v>127</v>
      </c>
      <c r="C54" s="69" t="s">
        <v>127</v>
      </c>
      <c r="D54" s="69" t="s">
        <v>127</v>
      </c>
      <c r="E54" s="70" t="s">
        <v>127</v>
      </c>
      <c r="F54" s="5">
        <v>6</v>
      </c>
      <c r="G54" s="5"/>
      <c r="H54" s="5">
        <f t="shared" si="0"/>
        <v>0</v>
      </c>
      <c r="I54" s="4">
        <f>'[1]ALS 10 BAZAR'!I54</f>
        <v>6</v>
      </c>
      <c r="J54" s="8">
        <f t="shared" si="1"/>
        <v>0</v>
      </c>
      <c r="K54" s="89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1"/>
    </row>
    <row r="55" spans="1:27" x14ac:dyDescent="0.2">
      <c r="A55" s="7">
        <f>'[1]ALS 10 BAZAR'!A55</f>
        <v>1805</v>
      </c>
      <c r="B55" s="68" t="s">
        <v>128</v>
      </c>
      <c r="C55" s="69" t="s">
        <v>128</v>
      </c>
      <c r="D55" s="69" t="s">
        <v>128</v>
      </c>
      <c r="E55" s="70" t="s">
        <v>128</v>
      </c>
      <c r="F55" s="5">
        <v>6</v>
      </c>
      <c r="G55" s="5"/>
      <c r="H55" s="5">
        <f t="shared" si="0"/>
        <v>0</v>
      </c>
      <c r="I55" s="4">
        <f>'[1]ALS 10 BAZAR'!I55</f>
        <v>7.2</v>
      </c>
      <c r="J55" s="8">
        <f t="shared" si="1"/>
        <v>0</v>
      </c>
      <c r="K55" s="89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1"/>
    </row>
    <row r="56" spans="1:27" x14ac:dyDescent="0.2">
      <c r="A56" s="7">
        <f>'[1]ALS 10 BAZAR'!A56</f>
        <v>647</v>
      </c>
      <c r="B56" s="68" t="s">
        <v>129</v>
      </c>
      <c r="C56" s="69" t="s">
        <v>129</v>
      </c>
      <c r="D56" s="69" t="s">
        <v>129</v>
      </c>
      <c r="E56" s="70" t="s">
        <v>129</v>
      </c>
      <c r="F56" s="5">
        <v>6</v>
      </c>
      <c r="G56" s="5"/>
      <c r="H56" s="5">
        <f t="shared" si="0"/>
        <v>0</v>
      </c>
      <c r="I56" s="4">
        <f>'[1]ALS 10 BAZAR'!I56</f>
        <v>1</v>
      </c>
      <c r="J56" s="8">
        <f t="shared" si="1"/>
        <v>0</v>
      </c>
      <c r="K56" s="89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1"/>
    </row>
    <row r="57" spans="1:27" x14ac:dyDescent="0.2">
      <c r="A57" s="7">
        <f>'[1]ALS 10 BAZAR'!A57</f>
        <v>792</v>
      </c>
      <c r="B57" s="68" t="s">
        <v>130</v>
      </c>
      <c r="C57" s="69" t="s">
        <v>130</v>
      </c>
      <c r="D57" s="69" t="s">
        <v>130</v>
      </c>
      <c r="E57" s="70" t="s">
        <v>130</v>
      </c>
      <c r="F57" s="5">
        <v>6</v>
      </c>
      <c r="G57" s="5"/>
      <c r="H57" s="5">
        <f t="shared" si="0"/>
        <v>0</v>
      </c>
      <c r="I57" s="4">
        <f>'[1]ALS 10 BAZAR'!I57</f>
        <v>6.9</v>
      </c>
      <c r="J57" s="8">
        <f t="shared" si="1"/>
        <v>0</v>
      </c>
      <c r="K57" s="89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1"/>
    </row>
    <row r="58" spans="1:27" x14ac:dyDescent="0.2">
      <c r="A58" s="7">
        <f>'[1]ALS 10 BAZAR'!A58</f>
        <v>823</v>
      </c>
      <c r="B58" s="68" t="s">
        <v>131</v>
      </c>
      <c r="C58" s="69" t="s">
        <v>131</v>
      </c>
      <c r="D58" s="69" t="s">
        <v>131</v>
      </c>
      <c r="E58" s="70" t="s">
        <v>131</v>
      </c>
      <c r="F58" s="5">
        <v>6</v>
      </c>
      <c r="G58" s="5"/>
      <c r="H58" s="5">
        <f t="shared" si="0"/>
        <v>0</v>
      </c>
      <c r="I58" s="4">
        <f>'[1]ALS 10 BAZAR'!I58</f>
        <v>7.2</v>
      </c>
      <c r="J58" s="8">
        <f t="shared" si="1"/>
        <v>0</v>
      </c>
      <c r="K58" s="89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1"/>
    </row>
    <row r="59" spans="1:27" x14ac:dyDescent="0.2">
      <c r="A59" s="7">
        <f>'[1]ALS 10 BAZAR'!A59</f>
        <v>1064</v>
      </c>
      <c r="B59" s="68" t="s">
        <v>132</v>
      </c>
      <c r="C59" s="69" t="s">
        <v>132</v>
      </c>
      <c r="D59" s="69" t="s">
        <v>132</v>
      </c>
      <c r="E59" s="70" t="s">
        <v>132</v>
      </c>
      <c r="F59" s="5">
        <v>6</v>
      </c>
      <c r="G59" s="5"/>
      <c r="H59" s="5">
        <f t="shared" si="0"/>
        <v>0</v>
      </c>
      <c r="I59" s="4">
        <v>7.2</v>
      </c>
      <c r="J59" s="8">
        <f t="shared" si="1"/>
        <v>0</v>
      </c>
      <c r="K59" s="89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1"/>
    </row>
    <row r="60" spans="1:27" x14ac:dyDescent="0.2">
      <c r="A60" s="7">
        <f>'[1]ALS 10 BAZAR'!A60</f>
        <v>804</v>
      </c>
      <c r="B60" s="68" t="s">
        <v>133</v>
      </c>
      <c r="C60" s="69" t="s">
        <v>133</v>
      </c>
      <c r="D60" s="69" t="s">
        <v>133</v>
      </c>
      <c r="E60" s="70" t="s">
        <v>133</v>
      </c>
      <c r="F60" s="5">
        <v>6</v>
      </c>
      <c r="G60" s="5">
        <v>100</v>
      </c>
      <c r="H60" s="5">
        <f t="shared" si="0"/>
        <v>600</v>
      </c>
      <c r="I60" s="4">
        <f>'[1]ALS 10 BAZAR'!I60</f>
        <v>4</v>
      </c>
      <c r="J60" s="8">
        <f t="shared" si="1"/>
        <v>2400</v>
      </c>
      <c r="K60" s="89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1"/>
    </row>
    <row r="61" spans="1:27" x14ac:dyDescent="0.2">
      <c r="A61" s="7">
        <f>'[1]ALS 10 BAZAR'!A61</f>
        <v>646</v>
      </c>
      <c r="B61" s="68" t="s">
        <v>134</v>
      </c>
      <c r="C61" s="69" t="s">
        <v>134</v>
      </c>
      <c r="D61" s="69" t="s">
        <v>134</v>
      </c>
      <c r="E61" s="70" t="s">
        <v>134</v>
      </c>
      <c r="F61" s="5">
        <v>6</v>
      </c>
      <c r="G61" s="5"/>
      <c r="H61" s="5">
        <f t="shared" si="0"/>
        <v>0</v>
      </c>
      <c r="I61" s="4">
        <f>'[1]ALS 10 BAZAR'!I61</f>
        <v>5</v>
      </c>
      <c r="J61" s="8">
        <f t="shared" si="1"/>
        <v>0</v>
      </c>
      <c r="K61" s="89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1"/>
    </row>
    <row r="62" spans="1:27" x14ac:dyDescent="0.2">
      <c r="A62" s="7">
        <f>'[1]ALS 10 BAZAR'!A62</f>
        <v>630</v>
      </c>
      <c r="B62" s="68" t="s">
        <v>135</v>
      </c>
      <c r="C62" s="69" t="s">
        <v>135</v>
      </c>
      <c r="D62" s="69" t="s">
        <v>135</v>
      </c>
      <c r="E62" s="70" t="s">
        <v>135</v>
      </c>
      <c r="F62" s="5">
        <v>6</v>
      </c>
      <c r="G62" s="5">
        <v>100</v>
      </c>
      <c r="H62" s="5">
        <f t="shared" si="0"/>
        <v>600</v>
      </c>
      <c r="I62" s="4">
        <f>'[1]ALS 10 BAZAR'!I62</f>
        <v>7.4</v>
      </c>
      <c r="J62" s="8">
        <f t="shared" si="1"/>
        <v>4440</v>
      </c>
      <c r="K62" s="89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1"/>
    </row>
    <row r="63" spans="1:27" x14ac:dyDescent="0.2">
      <c r="A63" s="7">
        <f>'[1]ALS 10 BAZAR'!A63</f>
        <v>631</v>
      </c>
      <c r="B63" s="68" t="s">
        <v>136</v>
      </c>
      <c r="C63" s="69" t="s">
        <v>136</v>
      </c>
      <c r="D63" s="69" t="s">
        <v>136</v>
      </c>
      <c r="E63" s="70" t="s">
        <v>136</v>
      </c>
      <c r="F63" s="5">
        <v>6</v>
      </c>
      <c r="G63" s="5">
        <v>100</v>
      </c>
      <c r="H63" s="5">
        <f t="shared" si="0"/>
        <v>600</v>
      </c>
      <c r="I63" s="4">
        <f>'[1]ALS 10 BAZAR'!I63</f>
        <v>6.2</v>
      </c>
      <c r="J63" s="8">
        <f t="shared" si="1"/>
        <v>3720</v>
      </c>
      <c r="K63" s="89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1"/>
    </row>
    <row r="64" spans="1:27" x14ac:dyDescent="0.2">
      <c r="A64" s="7">
        <f>'[1]ALS 10 BAZAR'!A64</f>
        <v>618</v>
      </c>
      <c r="B64" s="68" t="s">
        <v>137</v>
      </c>
      <c r="C64" s="69" t="s">
        <v>137</v>
      </c>
      <c r="D64" s="69" t="s">
        <v>137</v>
      </c>
      <c r="E64" s="70" t="s">
        <v>137</v>
      </c>
      <c r="F64" s="5">
        <v>6</v>
      </c>
      <c r="G64" s="5"/>
      <c r="H64" s="5">
        <f t="shared" si="0"/>
        <v>0</v>
      </c>
      <c r="I64" s="4">
        <f>'[1]ALS 10 BAZAR'!I64</f>
        <v>6.9</v>
      </c>
      <c r="J64" s="8">
        <f t="shared" si="1"/>
        <v>0</v>
      </c>
      <c r="K64" s="89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1"/>
    </row>
    <row r="65" spans="1:27" x14ac:dyDescent="0.2">
      <c r="A65" s="7">
        <f>'[1]ALS 10 BAZAR'!A65</f>
        <v>619</v>
      </c>
      <c r="B65" s="68" t="s">
        <v>138</v>
      </c>
      <c r="C65" s="69" t="s">
        <v>138</v>
      </c>
      <c r="D65" s="69" t="s">
        <v>138</v>
      </c>
      <c r="E65" s="70" t="s">
        <v>138</v>
      </c>
      <c r="F65" s="5">
        <v>6</v>
      </c>
      <c r="G65" s="5"/>
      <c r="H65" s="5">
        <f t="shared" si="0"/>
        <v>0</v>
      </c>
      <c r="I65" s="4">
        <f>'[1]ALS 10 BAZAR'!I65</f>
        <v>6.5</v>
      </c>
      <c r="J65" s="8">
        <f t="shared" si="1"/>
        <v>0</v>
      </c>
      <c r="K65" s="89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1"/>
    </row>
    <row r="66" spans="1:27" x14ac:dyDescent="0.2">
      <c r="A66" s="7">
        <f>'[1]ALS 10 BAZAR'!A66</f>
        <v>621</v>
      </c>
      <c r="B66" s="68" t="s">
        <v>139</v>
      </c>
      <c r="C66" s="69" t="s">
        <v>139</v>
      </c>
      <c r="D66" s="69" t="s">
        <v>139</v>
      </c>
      <c r="E66" s="70" t="s">
        <v>139</v>
      </c>
      <c r="F66" s="5">
        <v>6</v>
      </c>
      <c r="G66" s="5"/>
      <c r="H66" s="5">
        <f t="shared" si="0"/>
        <v>0</v>
      </c>
      <c r="I66" s="4">
        <f>'[1]ALS 10 BAZAR'!I66</f>
        <v>7.2</v>
      </c>
      <c r="J66" s="8">
        <f t="shared" si="1"/>
        <v>0</v>
      </c>
      <c r="K66" s="89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1"/>
    </row>
    <row r="67" spans="1:27" x14ac:dyDescent="0.2">
      <c r="A67" s="7">
        <f>'[1]ALS 10 BAZAR'!A67</f>
        <v>622</v>
      </c>
      <c r="B67" s="68" t="s">
        <v>140</v>
      </c>
      <c r="C67" s="69" t="s">
        <v>140</v>
      </c>
      <c r="D67" s="69" t="s">
        <v>140</v>
      </c>
      <c r="E67" s="70" t="s">
        <v>140</v>
      </c>
      <c r="F67" s="5">
        <v>6</v>
      </c>
      <c r="G67" s="5"/>
      <c r="H67" s="5">
        <f t="shared" si="0"/>
        <v>0</v>
      </c>
      <c r="I67" s="4">
        <f>'[1]ALS 10 BAZAR'!I67</f>
        <v>7.5</v>
      </c>
      <c r="J67" s="8">
        <f t="shared" si="1"/>
        <v>0</v>
      </c>
      <c r="K67" s="89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1"/>
    </row>
    <row r="68" spans="1:27" x14ac:dyDescent="0.2">
      <c r="A68" s="7"/>
      <c r="B68" s="68" t="s">
        <v>141</v>
      </c>
      <c r="C68" s="69" t="s">
        <v>141</v>
      </c>
      <c r="D68" s="69" t="s">
        <v>141</v>
      </c>
      <c r="E68" s="70" t="s">
        <v>141</v>
      </c>
      <c r="F68" s="5">
        <v>6</v>
      </c>
      <c r="G68" s="5"/>
      <c r="H68" s="5">
        <f t="shared" si="0"/>
        <v>0</v>
      </c>
      <c r="I68" s="4">
        <f>'[1]ALS 10 BAZAR'!I68</f>
        <v>6.7</v>
      </c>
      <c r="J68" s="8">
        <f t="shared" si="1"/>
        <v>0</v>
      </c>
      <c r="K68" s="89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1"/>
    </row>
    <row r="69" spans="1:27" x14ac:dyDescent="0.2">
      <c r="A69" s="7">
        <f>'[1]ALS 10 BAZAR'!A69</f>
        <v>1912</v>
      </c>
      <c r="B69" s="68" t="s">
        <v>142</v>
      </c>
      <c r="C69" s="69" t="s">
        <v>142</v>
      </c>
      <c r="D69" s="69" t="s">
        <v>142</v>
      </c>
      <c r="E69" s="70" t="s">
        <v>142</v>
      </c>
      <c r="F69" s="5">
        <v>6</v>
      </c>
      <c r="G69" s="5"/>
      <c r="H69" s="5">
        <f t="shared" si="0"/>
        <v>0</v>
      </c>
      <c r="I69" s="4">
        <f>'[1]ALS 10 BAZAR'!I69</f>
        <v>5.5</v>
      </c>
      <c r="J69" s="8">
        <f t="shared" si="1"/>
        <v>0</v>
      </c>
      <c r="K69" s="89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1"/>
    </row>
    <row r="70" spans="1:27" x14ac:dyDescent="0.2">
      <c r="A70" s="7">
        <f>'[1]ALS 10 BAZAR'!A70</f>
        <v>1896</v>
      </c>
      <c r="B70" s="68" t="s">
        <v>143</v>
      </c>
      <c r="C70" s="69" t="s">
        <v>143</v>
      </c>
      <c r="D70" s="69" t="s">
        <v>143</v>
      </c>
      <c r="E70" s="70" t="s">
        <v>143</v>
      </c>
      <c r="F70" s="5">
        <v>6</v>
      </c>
      <c r="G70" s="5"/>
      <c r="H70" s="5">
        <f t="shared" si="0"/>
        <v>0</v>
      </c>
      <c r="I70" s="4">
        <f>'[1]ALS 10 BAZAR'!I70</f>
        <v>5</v>
      </c>
      <c r="J70" s="8">
        <f t="shared" si="1"/>
        <v>0</v>
      </c>
      <c r="K70" s="89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1"/>
    </row>
    <row r="71" spans="1:27" x14ac:dyDescent="0.2">
      <c r="A71" s="7">
        <f>'[1]ALS 10 BAZAR'!A71</f>
        <v>1904</v>
      </c>
      <c r="B71" s="68" t="s">
        <v>144</v>
      </c>
      <c r="C71" s="69" t="s">
        <v>144</v>
      </c>
      <c r="D71" s="69" t="s">
        <v>144</v>
      </c>
      <c r="E71" s="70" t="s">
        <v>144</v>
      </c>
      <c r="F71" s="5">
        <v>6</v>
      </c>
      <c r="G71" s="5">
        <v>100</v>
      </c>
      <c r="H71" s="5">
        <f t="shared" si="0"/>
        <v>600</v>
      </c>
      <c r="I71" s="4">
        <f>'[1]ALS 10 BAZAR'!I71</f>
        <v>5</v>
      </c>
      <c r="J71" s="8">
        <f t="shared" si="1"/>
        <v>3000</v>
      </c>
      <c r="K71" s="89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1"/>
    </row>
    <row r="72" spans="1:27" x14ac:dyDescent="0.2">
      <c r="A72" s="7">
        <f>'[1]ALS 10 BAZAR'!A72</f>
        <v>1905</v>
      </c>
      <c r="B72" s="68" t="s">
        <v>145</v>
      </c>
      <c r="C72" s="69" t="s">
        <v>145</v>
      </c>
      <c r="D72" s="69" t="s">
        <v>145</v>
      </c>
      <c r="E72" s="70" t="s">
        <v>145</v>
      </c>
      <c r="F72" s="5">
        <v>6</v>
      </c>
      <c r="G72" s="5"/>
      <c r="H72" s="5">
        <f t="shared" si="0"/>
        <v>0</v>
      </c>
      <c r="I72" s="4">
        <f>'[1]ALS 10 BAZAR'!I72</f>
        <v>5</v>
      </c>
      <c r="J72" s="8">
        <f t="shared" si="1"/>
        <v>0</v>
      </c>
      <c r="K72" s="89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1"/>
    </row>
    <row r="73" spans="1:27" x14ac:dyDescent="0.2">
      <c r="A73" s="7">
        <f>'[1]ALS 10 BAZAR'!A73</f>
        <v>1997</v>
      </c>
      <c r="B73" s="68" t="s">
        <v>146</v>
      </c>
      <c r="C73" s="69" t="s">
        <v>146</v>
      </c>
      <c r="D73" s="69" t="s">
        <v>146</v>
      </c>
      <c r="E73" s="70" t="s">
        <v>146</v>
      </c>
      <c r="F73" s="5">
        <v>6</v>
      </c>
      <c r="G73" s="5"/>
      <c r="H73" s="5">
        <f t="shared" si="0"/>
        <v>0</v>
      </c>
      <c r="I73" s="4">
        <f>'[1]ALS 10 BAZAR'!I73</f>
        <v>5</v>
      </c>
      <c r="J73" s="8">
        <f t="shared" si="1"/>
        <v>0</v>
      </c>
      <c r="K73" s="89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1"/>
    </row>
    <row r="74" spans="1:27" x14ac:dyDescent="0.2">
      <c r="A74" s="7">
        <f>'[1]ALS 10 BAZAR'!A74</f>
        <v>629</v>
      </c>
      <c r="B74" s="68" t="s">
        <v>147</v>
      </c>
      <c r="C74" s="69" t="s">
        <v>147</v>
      </c>
      <c r="D74" s="69" t="s">
        <v>147</v>
      </c>
      <c r="E74" s="70" t="s">
        <v>147</v>
      </c>
      <c r="F74" s="5">
        <v>6</v>
      </c>
      <c r="G74" s="5">
        <v>100</v>
      </c>
      <c r="H74" s="5">
        <f t="shared" si="0"/>
        <v>600</v>
      </c>
      <c r="I74" s="4">
        <f>'[1]ALS 10 BAZAR'!I74</f>
        <v>6.2</v>
      </c>
      <c r="J74" s="8">
        <f t="shared" ref="J74:J80" si="2">H74*I74</f>
        <v>3720</v>
      </c>
      <c r="K74" s="89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1"/>
    </row>
    <row r="75" spans="1:27" x14ac:dyDescent="0.2">
      <c r="A75" s="5"/>
      <c r="B75" s="68" t="s">
        <v>148</v>
      </c>
      <c r="C75" s="69" t="s">
        <v>148</v>
      </c>
      <c r="D75" s="69" t="s">
        <v>148</v>
      </c>
      <c r="E75" s="70" t="s">
        <v>148</v>
      </c>
      <c r="F75" s="5">
        <v>6</v>
      </c>
      <c r="G75" s="5"/>
      <c r="H75" s="5">
        <f t="shared" si="0"/>
        <v>0</v>
      </c>
      <c r="I75" s="4">
        <v>7.2</v>
      </c>
      <c r="J75" s="8">
        <f t="shared" si="2"/>
        <v>0</v>
      </c>
      <c r="K75" s="89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1"/>
    </row>
    <row r="76" spans="1:27" x14ac:dyDescent="0.2">
      <c r="A76" s="7">
        <v>793</v>
      </c>
      <c r="B76" s="68" t="s">
        <v>149</v>
      </c>
      <c r="C76" s="69" t="s">
        <v>149</v>
      </c>
      <c r="D76" s="69" t="s">
        <v>149</v>
      </c>
      <c r="E76" s="70" t="s">
        <v>149</v>
      </c>
      <c r="F76" s="5">
        <v>6</v>
      </c>
      <c r="G76" s="5"/>
      <c r="H76" s="5">
        <f t="shared" si="0"/>
        <v>0</v>
      </c>
      <c r="I76" s="4">
        <v>6</v>
      </c>
      <c r="J76" s="8">
        <f t="shared" si="2"/>
        <v>0</v>
      </c>
      <c r="K76" s="89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1"/>
    </row>
    <row r="77" spans="1:27" x14ac:dyDescent="0.2">
      <c r="A77" s="7">
        <v>1036</v>
      </c>
      <c r="B77" s="68" t="s">
        <v>150</v>
      </c>
      <c r="C77" s="69" t="s">
        <v>150</v>
      </c>
      <c r="D77" s="69" t="s">
        <v>150</v>
      </c>
      <c r="E77" s="70" t="s">
        <v>150</v>
      </c>
      <c r="F77" s="5">
        <v>6</v>
      </c>
      <c r="G77" s="5"/>
      <c r="H77" s="5">
        <f t="shared" si="0"/>
        <v>0</v>
      </c>
      <c r="I77" s="4">
        <v>6</v>
      </c>
      <c r="J77" s="8">
        <f t="shared" si="2"/>
        <v>0</v>
      </c>
      <c r="K77" s="89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1"/>
    </row>
    <row r="78" spans="1:27" x14ac:dyDescent="0.2">
      <c r="A78" s="7">
        <v>1084</v>
      </c>
      <c r="B78" s="68" t="s">
        <v>151</v>
      </c>
      <c r="C78" s="69" t="s">
        <v>151</v>
      </c>
      <c r="D78" s="69" t="s">
        <v>151</v>
      </c>
      <c r="E78" s="70" t="s">
        <v>151</v>
      </c>
      <c r="F78" s="5">
        <v>6</v>
      </c>
      <c r="G78" s="5"/>
      <c r="H78" s="5">
        <f t="shared" si="0"/>
        <v>0</v>
      </c>
      <c r="I78" s="4">
        <v>7.2</v>
      </c>
      <c r="J78" s="8">
        <f t="shared" si="2"/>
        <v>0</v>
      </c>
      <c r="K78" s="89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1"/>
    </row>
    <row r="79" spans="1:27" x14ac:dyDescent="0.2">
      <c r="A79" s="7">
        <v>1894</v>
      </c>
      <c r="B79" s="68" t="s">
        <v>152</v>
      </c>
      <c r="C79" s="69" t="s">
        <v>152</v>
      </c>
      <c r="D79" s="69" t="s">
        <v>152</v>
      </c>
      <c r="E79" s="70" t="s">
        <v>152</v>
      </c>
      <c r="F79" s="5">
        <v>6</v>
      </c>
      <c r="G79" s="5"/>
      <c r="H79" s="5">
        <f t="shared" si="0"/>
        <v>0</v>
      </c>
      <c r="I79" s="4">
        <v>7.2</v>
      </c>
      <c r="J79" s="8">
        <f t="shared" si="2"/>
        <v>0</v>
      </c>
      <c r="K79" s="89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1"/>
    </row>
    <row r="80" spans="1:27" x14ac:dyDescent="0.2">
      <c r="A80" s="7">
        <v>988</v>
      </c>
      <c r="B80" s="68" t="s">
        <v>153</v>
      </c>
      <c r="C80" s="69" t="s">
        <v>153</v>
      </c>
      <c r="D80" s="69" t="s">
        <v>153</v>
      </c>
      <c r="E80" s="70" t="s">
        <v>153</v>
      </c>
      <c r="F80" s="5">
        <v>6</v>
      </c>
      <c r="G80" s="5"/>
      <c r="H80" s="5">
        <f t="shared" si="0"/>
        <v>0</v>
      </c>
      <c r="I80" s="4">
        <v>5.5</v>
      </c>
      <c r="J80" s="8">
        <f t="shared" si="2"/>
        <v>0</v>
      </c>
      <c r="K80" s="89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1"/>
    </row>
    <row r="81" spans="1:27" x14ac:dyDescent="0.2">
      <c r="A81" s="7">
        <v>1119</v>
      </c>
      <c r="B81" s="68" t="s">
        <v>154</v>
      </c>
      <c r="C81" s="69" t="s">
        <v>154</v>
      </c>
      <c r="D81" s="69" t="s">
        <v>154</v>
      </c>
      <c r="E81" s="70" t="s">
        <v>154</v>
      </c>
      <c r="F81" s="5">
        <v>6</v>
      </c>
      <c r="G81" s="5"/>
      <c r="H81" s="5">
        <f t="shared" si="0"/>
        <v>0</v>
      </c>
      <c r="I81" s="4">
        <v>5.5</v>
      </c>
      <c r="J81" s="8">
        <f t="shared" ref="J81:J172" si="3">H81*I81</f>
        <v>0</v>
      </c>
      <c r="K81" s="89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1"/>
    </row>
    <row r="82" spans="1:27" x14ac:dyDescent="0.2">
      <c r="A82" s="7">
        <v>1148</v>
      </c>
      <c r="B82" s="68" t="s">
        <v>155</v>
      </c>
      <c r="C82" s="69" t="s">
        <v>155</v>
      </c>
      <c r="D82" s="69" t="s">
        <v>155</v>
      </c>
      <c r="E82" s="70" t="s">
        <v>155</v>
      </c>
      <c r="F82" s="5">
        <v>6</v>
      </c>
      <c r="G82" s="5"/>
      <c r="H82" s="5">
        <f t="shared" si="0"/>
        <v>0</v>
      </c>
      <c r="I82" s="4">
        <v>5.5</v>
      </c>
      <c r="J82" s="8">
        <f t="shared" si="3"/>
        <v>0</v>
      </c>
      <c r="K82" s="89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1"/>
    </row>
    <row r="83" spans="1:27" x14ac:dyDescent="0.2">
      <c r="A83" s="7">
        <v>1120</v>
      </c>
      <c r="B83" s="68" t="s">
        <v>156</v>
      </c>
      <c r="C83" s="69" t="s">
        <v>156</v>
      </c>
      <c r="D83" s="69" t="s">
        <v>156</v>
      </c>
      <c r="E83" s="70" t="s">
        <v>156</v>
      </c>
      <c r="F83" s="5">
        <v>6</v>
      </c>
      <c r="G83" s="5"/>
      <c r="H83" s="5">
        <f t="shared" si="0"/>
        <v>0</v>
      </c>
      <c r="I83" s="4">
        <v>5.5</v>
      </c>
      <c r="J83" s="8">
        <f t="shared" si="3"/>
        <v>0</v>
      </c>
      <c r="K83" s="89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1"/>
    </row>
    <row r="84" spans="1:27" x14ac:dyDescent="0.2">
      <c r="A84" s="5"/>
      <c r="B84" s="68"/>
      <c r="C84" s="69"/>
      <c r="D84" s="69"/>
      <c r="E84" s="70"/>
      <c r="F84" s="5">
        <v>6</v>
      </c>
      <c r="G84" s="5"/>
      <c r="H84" s="5">
        <f t="shared" si="0"/>
        <v>0</v>
      </c>
      <c r="I84" s="4"/>
      <c r="J84" s="8">
        <f t="shared" si="3"/>
        <v>0</v>
      </c>
      <c r="K84" s="89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1"/>
    </row>
    <row r="85" spans="1:27" x14ac:dyDescent="0.2">
      <c r="A85" s="5"/>
      <c r="B85" s="68" t="s">
        <v>157</v>
      </c>
      <c r="C85" s="69" t="s">
        <v>157</v>
      </c>
      <c r="D85" s="69" t="s">
        <v>157</v>
      </c>
      <c r="E85" s="70" t="s">
        <v>157</v>
      </c>
      <c r="F85" s="5">
        <v>6</v>
      </c>
      <c r="G85" s="5">
        <v>150</v>
      </c>
      <c r="H85" s="5">
        <f t="shared" si="0"/>
        <v>900</v>
      </c>
      <c r="I85" s="4">
        <v>7.2</v>
      </c>
      <c r="J85" s="8">
        <f t="shared" si="3"/>
        <v>6480</v>
      </c>
      <c r="K85" s="89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1"/>
    </row>
    <row r="86" spans="1:27" x14ac:dyDescent="0.2">
      <c r="A86" s="7">
        <v>1374</v>
      </c>
      <c r="B86" s="68" t="s">
        <v>158</v>
      </c>
      <c r="C86" s="69" t="s">
        <v>158</v>
      </c>
      <c r="D86" s="69" t="s">
        <v>158</v>
      </c>
      <c r="E86" s="70" t="s">
        <v>158</v>
      </c>
      <c r="F86" s="5">
        <v>6</v>
      </c>
      <c r="G86" s="5">
        <v>35</v>
      </c>
      <c r="H86" s="5">
        <f t="shared" si="0"/>
        <v>210</v>
      </c>
      <c r="I86" s="4">
        <v>6.7</v>
      </c>
      <c r="J86" s="8">
        <f t="shared" si="3"/>
        <v>1407</v>
      </c>
      <c r="K86" s="89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1"/>
    </row>
    <row r="87" spans="1:27" x14ac:dyDescent="0.2">
      <c r="A87" s="7"/>
      <c r="B87" s="68" t="s">
        <v>159</v>
      </c>
      <c r="C87" s="69" t="s">
        <v>159</v>
      </c>
      <c r="D87" s="69" t="s">
        <v>159</v>
      </c>
      <c r="E87" s="70" t="s">
        <v>159</v>
      </c>
      <c r="F87" s="5">
        <v>6</v>
      </c>
      <c r="G87" s="5"/>
      <c r="H87" s="5">
        <f t="shared" si="0"/>
        <v>0</v>
      </c>
      <c r="I87" s="4">
        <f>'[1]ALS 10 BAZAR'!I77</f>
        <v>6.7</v>
      </c>
      <c r="J87" s="8">
        <f t="shared" si="3"/>
        <v>0</v>
      </c>
      <c r="K87" s="89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1"/>
    </row>
    <row r="88" spans="1:27" x14ac:dyDescent="0.2">
      <c r="A88" s="7">
        <v>2017</v>
      </c>
      <c r="B88" s="68" t="s">
        <v>160</v>
      </c>
      <c r="C88" s="69" t="s">
        <v>160</v>
      </c>
      <c r="D88" s="69" t="s">
        <v>160</v>
      </c>
      <c r="E88" s="70" t="s">
        <v>160</v>
      </c>
      <c r="F88" s="5">
        <v>6</v>
      </c>
      <c r="G88" s="5">
        <v>60</v>
      </c>
      <c r="H88" s="5">
        <f t="shared" si="0"/>
        <v>360</v>
      </c>
      <c r="I88" s="4">
        <f>'[1]ALS 10 BAZAR'!I78</f>
        <v>6.7</v>
      </c>
      <c r="J88" s="8">
        <f t="shared" si="3"/>
        <v>2412</v>
      </c>
      <c r="K88" s="89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1"/>
    </row>
    <row r="89" spans="1:27" x14ac:dyDescent="0.2">
      <c r="A89" s="7">
        <v>2016</v>
      </c>
      <c r="B89" s="68" t="s">
        <v>161</v>
      </c>
      <c r="C89" s="69" t="s">
        <v>161</v>
      </c>
      <c r="D89" s="69" t="s">
        <v>161</v>
      </c>
      <c r="E89" s="70" t="s">
        <v>161</v>
      </c>
      <c r="F89" s="5">
        <v>6</v>
      </c>
      <c r="G89" s="5"/>
      <c r="H89" s="5">
        <f t="shared" si="0"/>
        <v>0</v>
      </c>
      <c r="I89" s="4">
        <f>'[1]ALS 10 BAZAR'!I79</f>
        <v>6.7</v>
      </c>
      <c r="J89" s="8">
        <f t="shared" si="3"/>
        <v>0</v>
      </c>
      <c r="K89" s="89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1"/>
    </row>
    <row r="90" spans="1:27" x14ac:dyDescent="0.2">
      <c r="A90" s="7">
        <v>2021</v>
      </c>
      <c r="B90" s="68" t="s">
        <v>162</v>
      </c>
      <c r="C90" s="69" t="s">
        <v>162</v>
      </c>
      <c r="D90" s="69" t="s">
        <v>162</v>
      </c>
      <c r="E90" s="70" t="s">
        <v>162</v>
      </c>
      <c r="F90" s="5">
        <v>6</v>
      </c>
      <c r="G90" s="5">
        <v>35</v>
      </c>
      <c r="H90" s="5">
        <f t="shared" si="0"/>
        <v>210</v>
      </c>
      <c r="I90" s="4">
        <f>'[1]ALS 10 BAZAR'!I80</f>
        <v>6.7</v>
      </c>
      <c r="J90" s="8">
        <f t="shared" si="3"/>
        <v>1407</v>
      </c>
      <c r="K90" s="89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1"/>
    </row>
    <row r="91" spans="1:27" x14ac:dyDescent="0.2">
      <c r="A91" s="7">
        <v>2020</v>
      </c>
      <c r="B91" s="68" t="s">
        <v>163</v>
      </c>
      <c r="C91" s="69" t="s">
        <v>163</v>
      </c>
      <c r="D91" s="69" t="s">
        <v>163</v>
      </c>
      <c r="E91" s="70" t="s">
        <v>163</v>
      </c>
      <c r="F91" s="5">
        <v>6</v>
      </c>
      <c r="G91" s="5">
        <v>35</v>
      </c>
      <c r="H91" s="5">
        <f t="shared" si="0"/>
        <v>210</v>
      </c>
      <c r="I91" s="4">
        <f>'[1]ALS 10 BAZAR'!I81</f>
        <v>6.7</v>
      </c>
      <c r="J91" s="8">
        <f t="shared" si="3"/>
        <v>1407</v>
      </c>
      <c r="K91" s="89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1"/>
    </row>
    <row r="92" spans="1:27" x14ac:dyDescent="0.2">
      <c r="A92" s="7">
        <v>2019</v>
      </c>
      <c r="B92" s="68" t="s">
        <v>164</v>
      </c>
      <c r="C92" s="69" t="s">
        <v>164</v>
      </c>
      <c r="D92" s="69" t="s">
        <v>164</v>
      </c>
      <c r="E92" s="70" t="s">
        <v>164</v>
      </c>
      <c r="F92" s="5">
        <v>6</v>
      </c>
      <c r="G92" s="5">
        <v>35</v>
      </c>
      <c r="H92" s="5">
        <f t="shared" si="0"/>
        <v>210</v>
      </c>
      <c r="I92" s="4">
        <f>'[1]ALS 10 BAZAR'!I82</f>
        <v>6.7</v>
      </c>
      <c r="J92" s="8">
        <f t="shared" si="3"/>
        <v>1407</v>
      </c>
      <c r="K92" s="89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1"/>
    </row>
    <row r="93" spans="1:27" x14ac:dyDescent="0.2">
      <c r="A93" s="7">
        <v>2008</v>
      </c>
      <c r="B93" s="68" t="s">
        <v>165</v>
      </c>
      <c r="C93" s="69" t="s">
        <v>165</v>
      </c>
      <c r="D93" s="69" t="s">
        <v>165</v>
      </c>
      <c r="E93" s="70" t="s">
        <v>165</v>
      </c>
      <c r="F93" s="5">
        <v>6</v>
      </c>
      <c r="G93" s="5">
        <v>35</v>
      </c>
      <c r="H93" s="5">
        <f t="shared" si="0"/>
        <v>210</v>
      </c>
      <c r="I93" s="4">
        <f>'[1]ALS 10 BAZAR'!I83</f>
        <v>6.7</v>
      </c>
      <c r="J93" s="8">
        <f t="shared" si="3"/>
        <v>1407</v>
      </c>
      <c r="K93" s="89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1"/>
    </row>
    <row r="94" spans="1:27" x14ac:dyDescent="0.2">
      <c r="A94" s="7">
        <v>2006</v>
      </c>
      <c r="B94" s="68" t="s">
        <v>166</v>
      </c>
      <c r="C94" s="69" t="s">
        <v>166</v>
      </c>
      <c r="D94" s="69" t="s">
        <v>166</v>
      </c>
      <c r="E94" s="70" t="s">
        <v>166</v>
      </c>
      <c r="F94" s="5">
        <v>6</v>
      </c>
      <c r="G94" s="5">
        <v>25</v>
      </c>
      <c r="H94" s="5">
        <f t="shared" si="0"/>
        <v>150</v>
      </c>
      <c r="I94" s="4">
        <f>'[1]ALS 10 BAZAR'!I84</f>
        <v>6.7</v>
      </c>
      <c r="J94" s="8">
        <f t="shared" si="3"/>
        <v>1005</v>
      </c>
      <c r="K94" s="89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1"/>
    </row>
    <row r="95" spans="1:27" x14ac:dyDescent="0.2">
      <c r="A95" s="7">
        <v>2012</v>
      </c>
      <c r="B95" s="68" t="s">
        <v>167</v>
      </c>
      <c r="C95" s="69" t="s">
        <v>167</v>
      </c>
      <c r="D95" s="69" t="s">
        <v>167</v>
      </c>
      <c r="E95" s="70" t="s">
        <v>167</v>
      </c>
      <c r="F95" s="5">
        <v>6</v>
      </c>
      <c r="G95" s="5">
        <v>35</v>
      </c>
      <c r="H95" s="5">
        <f t="shared" si="0"/>
        <v>210</v>
      </c>
      <c r="I95" s="4">
        <f>'[1]ALS 10 BAZAR'!I85</f>
        <v>6.7</v>
      </c>
      <c r="J95" s="8">
        <f t="shared" si="3"/>
        <v>1407</v>
      </c>
      <c r="K95" s="89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1"/>
    </row>
    <row r="96" spans="1:27" x14ac:dyDescent="0.2">
      <c r="A96" s="7">
        <v>2004</v>
      </c>
      <c r="B96" s="68" t="s">
        <v>168</v>
      </c>
      <c r="C96" s="69" t="s">
        <v>168</v>
      </c>
      <c r="D96" s="69" t="s">
        <v>168</v>
      </c>
      <c r="E96" s="70" t="s">
        <v>168</v>
      </c>
      <c r="F96" s="5">
        <v>6</v>
      </c>
      <c r="G96" s="5">
        <v>25</v>
      </c>
      <c r="H96" s="5">
        <f t="shared" si="0"/>
        <v>150</v>
      </c>
      <c r="I96" s="4">
        <f>'[1]ALS 10 BAZAR'!I86</f>
        <v>6.7</v>
      </c>
      <c r="J96" s="8">
        <f t="shared" si="3"/>
        <v>1005</v>
      </c>
      <c r="K96" s="89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1"/>
    </row>
    <row r="97" spans="1:27" x14ac:dyDescent="0.2">
      <c r="A97" s="7">
        <v>2003</v>
      </c>
      <c r="B97" s="68" t="s">
        <v>169</v>
      </c>
      <c r="C97" s="69" t="s">
        <v>169</v>
      </c>
      <c r="D97" s="69" t="s">
        <v>169</v>
      </c>
      <c r="E97" s="70" t="s">
        <v>169</v>
      </c>
      <c r="F97" s="5">
        <v>6</v>
      </c>
      <c r="G97" s="5"/>
      <c r="H97" s="5">
        <f t="shared" si="0"/>
        <v>0</v>
      </c>
      <c r="I97" s="4">
        <f>'[1]ALS 10 BAZAR'!I87</f>
        <v>6.7</v>
      </c>
      <c r="J97" s="8">
        <f t="shared" si="3"/>
        <v>0</v>
      </c>
      <c r="K97" s="89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1"/>
    </row>
    <row r="98" spans="1:27" x14ac:dyDescent="0.2">
      <c r="A98" s="7">
        <v>2015</v>
      </c>
      <c r="B98" s="68" t="s">
        <v>170</v>
      </c>
      <c r="C98" s="69" t="s">
        <v>170</v>
      </c>
      <c r="D98" s="69" t="s">
        <v>170</v>
      </c>
      <c r="E98" s="70" t="s">
        <v>170</v>
      </c>
      <c r="F98" s="5">
        <v>6</v>
      </c>
      <c r="G98" s="5">
        <v>35</v>
      </c>
      <c r="H98" s="5">
        <f t="shared" si="0"/>
        <v>210</v>
      </c>
      <c r="I98" s="4">
        <f>'[1]ALS 10 BAZAR'!I88</f>
        <v>6.7</v>
      </c>
      <c r="J98" s="8">
        <f t="shared" si="3"/>
        <v>1407</v>
      </c>
      <c r="K98" s="89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1"/>
    </row>
    <row r="99" spans="1:27" x14ac:dyDescent="0.2">
      <c r="A99" s="7">
        <v>2009</v>
      </c>
      <c r="B99" s="68" t="s">
        <v>171</v>
      </c>
      <c r="C99" s="69" t="s">
        <v>171</v>
      </c>
      <c r="D99" s="69" t="s">
        <v>171</v>
      </c>
      <c r="E99" s="70" t="s">
        <v>171</v>
      </c>
      <c r="F99" s="5">
        <v>6</v>
      </c>
      <c r="G99" s="5">
        <v>25</v>
      </c>
      <c r="H99" s="5">
        <f t="shared" si="0"/>
        <v>150</v>
      </c>
      <c r="I99" s="4">
        <f>'[1]ALS 10 BAZAR'!I89</f>
        <v>6.7</v>
      </c>
      <c r="J99" s="8">
        <f t="shared" si="3"/>
        <v>1005</v>
      </c>
      <c r="K99" s="89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1"/>
    </row>
    <row r="100" spans="1:27" x14ac:dyDescent="0.2">
      <c r="A100" s="7">
        <v>2013</v>
      </c>
      <c r="B100" s="68" t="s">
        <v>172</v>
      </c>
      <c r="C100" s="69" t="s">
        <v>172</v>
      </c>
      <c r="D100" s="69" t="s">
        <v>172</v>
      </c>
      <c r="E100" s="70" t="s">
        <v>172</v>
      </c>
      <c r="F100" s="5">
        <v>6</v>
      </c>
      <c r="G100" s="5">
        <v>25</v>
      </c>
      <c r="H100" s="5">
        <f t="shared" si="0"/>
        <v>150</v>
      </c>
      <c r="I100" s="4">
        <f>'[1]ALS 10 BAZAR'!I90</f>
        <v>6.7</v>
      </c>
      <c r="J100" s="8">
        <f t="shared" si="3"/>
        <v>1005</v>
      </c>
      <c r="K100" s="89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1"/>
    </row>
    <row r="101" spans="1:27" x14ac:dyDescent="0.2">
      <c r="A101" s="7">
        <v>2014</v>
      </c>
      <c r="B101" s="68" t="s">
        <v>173</v>
      </c>
      <c r="C101" s="69" t="s">
        <v>173</v>
      </c>
      <c r="D101" s="69" t="s">
        <v>173</v>
      </c>
      <c r="E101" s="70" t="s">
        <v>173</v>
      </c>
      <c r="F101" s="5">
        <v>6</v>
      </c>
      <c r="G101" s="5">
        <v>20</v>
      </c>
      <c r="H101" s="5">
        <f t="shared" si="0"/>
        <v>120</v>
      </c>
      <c r="I101" s="4">
        <f>'[1]ALS 10 BAZAR'!I91</f>
        <v>6.7</v>
      </c>
      <c r="J101" s="8">
        <f t="shared" si="3"/>
        <v>804</v>
      </c>
      <c r="K101" s="89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1"/>
    </row>
    <row r="102" spans="1:27" x14ac:dyDescent="0.2">
      <c r="A102" s="7">
        <v>2007</v>
      </c>
      <c r="B102" s="68" t="s">
        <v>174</v>
      </c>
      <c r="C102" s="69" t="s">
        <v>174</v>
      </c>
      <c r="D102" s="69" t="s">
        <v>174</v>
      </c>
      <c r="E102" s="70" t="s">
        <v>174</v>
      </c>
      <c r="F102" s="5">
        <v>6</v>
      </c>
      <c r="G102" s="5">
        <v>25</v>
      </c>
      <c r="H102" s="5">
        <f t="shared" si="0"/>
        <v>150</v>
      </c>
      <c r="I102" s="4">
        <f>'[1]ALS 10 BAZAR'!I92</f>
        <v>6.7</v>
      </c>
      <c r="J102" s="8">
        <f t="shared" si="3"/>
        <v>1005</v>
      </c>
      <c r="K102" s="89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1"/>
    </row>
    <row r="103" spans="1:27" x14ac:dyDescent="0.2">
      <c r="A103" s="7">
        <v>4012</v>
      </c>
      <c r="B103" s="68" t="s">
        <v>175</v>
      </c>
      <c r="C103" s="69" t="s">
        <v>175</v>
      </c>
      <c r="D103" s="69" t="s">
        <v>175</v>
      </c>
      <c r="E103" s="70" t="s">
        <v>175</v>
      </c>
      <c r="F103" s="5">
        <v>6</v>
      </c>
      <c r="G103" s="5">
        <v>100</v>
      </c>
      <c r="H103" s="5">
        <f t="shared" si="0"/>
        <v>600</v>
      </c>
      <c r="I103" s="4">
        <f>'[1]ALS 10 BAZAR'!I93</f>
        <v>6.7</v>
      </c>
      <c r="J103" s="8">
        <f t="shared" si="3"/>
        <v>4020</v>
      </c>
      <c r="K103" s="89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1"/>
    </row>
    <row r="104" spans="1:27" x14ac:dyDescent="0.2">
      <c r="A104" s="7">
        <f>'[1]ALS 10 BAZAR'!A94</f>
        <v>4012</v>
      </c>
      <c r="B104" s="68" t="s">
        <v>176</v>
      </c>
      <c r="C104" s="69" t="s">
        <v>176</v>
      </c>
      <c r="D104" s="69" t="s">
        <v>176</v>
      </c>
      <c r="E104" s="70" t="s">
        <v>176</v>
      </c>
      <c r="F104" s="5">
        <v>6</v>
      </c>
      <c r="G104" s="5"/>
      <c r="H104" s="5">
        <f t="shared" si="0"/>
        <v>0</v>
      </c>
      <c r="I104" s="4">
        <f>'[1]ALS 10 BAZAR'!I94</f>
        <v>6.7</v>
      </c>
      <c r="J104" s="8">
        <f t="shared" si="3"/>
        <v>0</v>
      </c>
      <c r="K104" s="89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1"/>
    </row>
    <row r="105" spans="1:27" x14ac:dyDescent="0.2">
      <c r="A105" s="7">
        <f>'[1]ALS 10 BAZAR'!A95</f>
        <v>4033</v>
      </c>
      <c r="B105" s="68" t="s">
        <v>177</v>
      </c>
      <c r="C105" s="69" t="s">
        <v>177</v>
      </c>
      <c r="D105" s="69" t="s">
        <v>177</v>
      </c>
      <c r="E105" s="70" t="s">
        <v>177</v>
      </c>
      <c r="F105" s="5">
        <v>6</v>
      </c>
      <c r="G105" s="5"/>
      <c r="H105" s="5">
        <f t="shared" si="0"/>
        <v>0</v>
      </c>
      <c r="I105" s="4">
        <f>'[1]ALS 10 BAZAR'!I95</f>
        <v>6.7</v>
      </c>
      <c r="J105" s="8">
        <f t="shared" si="3"/>
        <v>0</v>
      </c>
      <c r="K105" s="89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1"/>
    </row>
    <row r="106" spans="1:27" x14ac:dyDescent="0.2">
      <c r="A106" s="7"/>
      <c r="B106" s="68"/>
      <c r="C106" s="69"/>
      <c r="D106" s="69"/>
      <c r="E106" s="70"/>
      <c r="F106" s="5">
        <v>6</v>
      </c>
      <c r="G106" s="5"/>
      <c r="H106" s="5">
        <f t="shared" si="0"/>
        <v>0</v>
      </c>
      <c r="I106" s="4"/>
      <c r="J106" s="8">
        <f t="shared" si="3"/>
        <v>0</v>
      </c>
      <c r="K106" s="89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1"/>
    </row>
    <row r="107" spans="1:27" x14ac:dyDescent="0.2">
      <c r="A107" s="7"/>
      <c r="B107" s="68" t="s">
        <v>178</v>
      </c>
      <c r="C107" s="69" t="s">
        <v>178</v>
      </c>
      <c r="D107" s="69" t="s">
        <v>178</v>
      </c>
      <c r="E107" s="70" t="s">
        <v>178</v>
      </c>
      <c r="F107" s="5">
        <v>6</v>
      </c>
      <c r="G107" s="5"/>
      <c r="H107" s="5">
        <f t="shared" si="0"/>
        <v>0</v>
      </c>
      <c r="I107" s="4">
        <f>'[1]ALS 10 BAZAR'!I97</f>
        <v>0</v>
      </c>
      <c r="J107" s="8">
        <f t="shared" si="3"/>
        <v>0</v>
      </c>
      <c r="K107" s="89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1"/>
    </row>
    <row r="108" spans="1:27" x14ac:dyDescent="0.2">
      <c r="A108" s="7">
        <f>'[1]ALS 10 BAZAR'!A98</f>
        <v>1435</v>
      </c>
      <c r="B108" s="68" t="s">
        <v>179</v>
      </c>
      <c r="C108" s="69" t="s">
        <v>179</v>
      </c>
      <c r="D108" s="69" t="s">
        <v>179</v>
      </c>
      <c r="E108" s="70" t="s">
        <v>179</v>
      </c>
      <c r="F108" s="5">
        <v>6</v>
      </c>
      <c r="G108" s="5"/>
      <c r="H108" s="5">
        <f t="shared" si="0"/>
        <v>0</v>
      </c>
      <c r="I108" s="4">
        <f>'[1]ALS 10 BAZAR'!I98</f>
        <v>6.7</v>
      </c>
      <c r="J108" s="8">
        <f t="shared" si="3"/>
        <v>0</v>
      </c>
      <c r="K108" s="89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1"/>
    </row>
    <row r="109" spans="1:27" x14ac:dyDescent="0.2">
      <c r="A109" s="7">
        <f>'[1]ALS 10 BAZAR'!A99</f>
        <v>1437</v>
      </c>
      <c r="B109" s="68" t="s">
        <v>180</v>
      </c>
      <c r="C109" s="69" t="s">
        <v>180</v>
      </c>
      <c r="D109" s="69" t="s">
        <v>180</v>
      </c>
      <c r="E109" s="70" t="s">
        <v>180</v>
      </c>
      <c r="F109" s="5">
        <v>6</v>
      </c>
      <c r="G109" s="5"/>
      <c r="H109" s="5">
        <f t="shared" si="0"/>
        <v>0</v>
      </c>
      <c r="I109" s="4">
        <f>'[1]ALS 10 BAZAR'!I99</f>
        <v>6.7</v>
      </c>
      <c r="J109" s="8">
        <f t="shared" si="3"/>
        <v>0</v>
      </c>
      <c r="K109" s="89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1"/>
    </row>
    <row r="110" spans="1:27" x14ac:dyDescent="0.2">
      <c r="A110" s="7">
        <v>1439</v>
      </c>
      <c r="B110" s="68" t="s">
        <v>181</v>
      </c>
      <c r="C110" s="69" t="s">
        <v>181</v>
      </c>
      <c r="D110" s="69" t="s">
        <v>181</v>
      </c>
      <c r="E110" s="70" t="s">
        <v>181</v>
      </c>
      <c r="F110" s="5">
        <v>6</v>
      </c>
      <c r="G110" s="5">
        <v>45</v>
      </c>
      <c r="H110" s="5">
        <f t="shared" si="0"/>
        <v>270</v>
      </c>
      <c r="I110" s="4">
        <f>'[1]ALS 10 BAZAR'!I100</f>
        <v>6.7</v>
      </c>
      <c r="J110" s="8">
        <f t="shared" si="3"/>
        <v>1809</v>
      </c>
      <c r="K110" s="89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1"/>
    </row>
    <row r="111" spans="1:27" x14ac:dyDescent="0.2">
      <c r="A111" s="7"/>
      <c r="B111" s="68" t="s">
        <v>182</v>
      </c>
      <c r="C111" s="69" t="s">
        <v>182</v>
      </c>
      <c r="D111" s="69" t="s">
        <v>182</v>
      </c>
      <c r="E111" s="70" t="s">
        <v>182</v>
      </c>
      <c r="F111" s="5">
        <v>6</v>
      </c>
      <c r="G111" s="5"/>
      <c r="H111" s="5">
        <f t="shared" si="0"/>
        <v>0</v>
      </c>
      <c r="I111" s="4">
        <f>'[1]ALS 10 BAZAR'!I101</f>
        <v>6.7</v>
      </c>
      <c r="J111" s="8">
        <f t="shared" si="3"/>
        <v>0</v>
      </c>
      <c r="K111" s="89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1"/>
    </row>
    <row r="112" spans="1:27" x14ac:dyDescent="0.2">
      <c r="A112" s="7">
        <f>'[1]ALS 10 BAZAR'!A102</f>
        <v>1440</v>
      </c>
      <c r="B112" s="68" t="s">
        <v>183</v>
      </c>
      <c r="C112" s="69" t="s">
        <v>183</v>
      </c>
      <c r="D112" s="69" t="s">
        <v>183</v>
      </c>
      <c r="E112" s="70" t="s">
        <v>183</v>
      </c>
      <c r="F112" s="5">
        <v>6</v>
      </c>
      <c r="G112" s="5"/>
      <c r="H112" s="5">
        <f t="shared" si="0"/>
        <v>0</v>
      </c>
      <c r="I112" s="4">
        <f>'[1]ALS 10 BAZAR'!I102</f>
        <v>6.7</v>
      </c>
      <c r="J112" s="8">
        <f t="shared" si="3"/>
        <v>0</v>
      </c>
      <c r="K112" s="89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1"/>
    </row>
    <row r="113" spans="1:27" x14ac:dyDescent="0.2">
      <c r="A113" s="7">
        <v>1429</v>
      </c>
      <c r="B113" s="68" t="s">
        <v>184</v>
      </c>
      <c r="C113" s="69" t="s">
        <v>184</v>
      </c>
      <c r="D113" s="69" t="s">
        <v>184</v>
      </c>
      <c r="E113" s="70" t="s">
        <v>184</v>
      </c>
      <c r="F113" s="5">
        <v>6</v>
      </c>
      <c r="G113" s="5">
        <v>50</v>
      </c>
      <c r="H113" s="5">
        <f t="shared" si="0"/>
        <v>300</v>
      </c>
      <c r="I113" s="4">
        <f>'[1]ALS 10 BAZAR'!I103</f>
        <v>6.7</v>
      </c>
      <c r="J113" s="8">
        <f t="shared" si="3"/>
        <v>2010</v>
      </c>
      <c r="K113" s="89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1"/>
    </row>
    <row r="114" spans="1:27" x14ac:dyDescent="0.2">
      <c r="A114" s="7">
        <v>1430</v>
      </c>
      <c r="B114" s="68" t="s">
        <v>185</v>
      </c>
      <c r="C114" s="69" t="s">
        <v>185</v>
      </c>
      <c r="D114" s="69" t="s">
        <v>185</v>
      </c>
      <c r="E114" s="70" t="s">
        <v>185</v>
      </c>
      <c r="F114" s="5">
        <v>6</v>
      </c>
      <c r="G114" s="5">
        <v>30</v>
      </c>
      <c r="H114" s="5">
        <f t="shared" si="0"/>
        <v>180</v>
      </c>
      <c r="I114" s="4">
        <f>'[1]ALS 10 BAZAR'!I104</f>
        <v>6.7</v>
      </c>
      <c r="J114" s="8">
        <f t="shared" si="3"/>
        <v>1206</v>
      </c>
      <c r="K114" s="89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1"/>
    </row>
    <row r="115" spans="1:27" x14ac:dyDescent="0.2">
      <c r="A115" s="7">
        <v>1431</v>
      </c>
      <c r="B115" s="68" t="s">
        <v>186</v>
      </c>
      <c r="C115" s="69" t="s">
        <v>186</v>
      </c>
      <c r="D115" s="69" t="s">
        <v>186</v>
      </c>
      <c r="E115" s="70" t="s">
        <v>186</v>
      </c>
      <c r="F115" s="5">
        <v>6</v>
      </c>
      <c r="G115" s="5">
        <v>50</v>
      </c>
      <c r="H115" s="5">
        <f t="shared" si="0"/>
        <v>300</v>
      </c>
      <c r="I115" s="4">
        <f>'[1]ALS 10 BAZAR'!I105</f>
        <v>6.7</v>
      </c>
      <c r="J115" s="8">
        <f t="shared" si="3"/>
        <v>2010</v>
      </c>
      <c r="K115" s="89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1"/>
    </row>
    <row r="116" spans="1:27" x14ac:dyDescent="0.2">
      <c r="A116" s="5"/>
      <c r="B116" s="68"/>
      <c r="C116" s="69"/>
      <c r="D116" s="69"/>
      <c r="E116" s="70"/>
      <c r="F116" s="5">
        <v>6</v>
      </c>
      <c r="G116" s="5"/>
      <c r="H116" s="5">
        <f t="shared" si="0"/>
        <v>0</v>
      </c>
      <c r="I116" s="4"/>
      <c r="J116" s="8">
        <f t="shared" si="3"/>
        <v>0</v>
      </c>
      <c r="K116" s="89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1"/>
    </row>
    <row r="117" spans="1:27" x14ac:dyDescent="0.2">
      <c r="A117" s="5">
        <v>678</v>
      </c>
      <c r="B117" s="68" t="s">
        <v>187</v>
      </c>
      <c r="C117" s="69" t="s">
        <v>187</v>
      </c>
      <c r="D117" s="69" t="s">
        <v>187</v>
      </c>
      <c r="E117" s="70" t="s">
        <v>187</v>
      </c>
      <c r="F117" s="5">
        <v>6</v>
      </c>
      <c r="G117" s="5">
        <v>50</v>
      </c>
      <c r="H117" s="5">
        <f t="shared" si="0"/>
        <v>300</v>
      </c>
      <c r="I117" s="4">
        <v>6.7</v>
      </c>
      <c r="J117" s="8">
        <f t="shared" si="3"/>
        <v>2010</v>
      </c>
      <c r="K117" s="89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1"/>
    </row>
    <row r="118" spans="1:27" x14ac:dyDescent="0.2">
      <c r="A118" s="5"/>
      <c r="B118" s="68" t="s">
        <v>188</v>
      </c>
      <c r="C118" s="69" t="s">
        <v>188</v>
      </c>
      <c r="D118" s="69" t="s">
        <v>188</v>
      </c>
      <c r="E118" s="70" t="s">
        <v>188</v>
      </c>
      <c r="F118" s="5">
        <v>6</v>
      </c>
      <c r="G118" s="5"/>
      <c r="H118" s="5">
        <f t="shared" si="0"/>
        <v>0</v>
      </c>
      <c r="I118" s="4">
        <v>6.7</v>
      </c>
      <c r="J118" s="8">
        <f t="shared" si="3"/>
        <v>0</v>
      </c>
      <c r="K118" s="89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1"/>
    </row>
    <row r="119" spans="1:27" x14ac:dyDescent="0.2">
      <c r="A119" s="5">
        <v>680</v>
      </c>
      <c r="B119" s="68" t="s">
        <v>189</v>
      </c>
      <c r="C119" s="69" t="s">
        <v>189</v>
      </c>
      <c r="D119" s="69" t="s">
        <v>189</v>
      </c>
      <c r="E119" s="70" t="s">
        <v>189</v>
      </c>
      <c r="F119" s="5">
        <v>6</v>
      </c>
      <c r="G119" s="5">
        <v>40</v>
      </c>
      <c r="H119" s="5">
        <f t="shared" si="0"/>
        <v>240</v>
      </c>
      <c r="I119" s="4">
        <v>6.7</v>
      </c>
      <c r="J119" s="8">
        <f t="shared" si="3"/>
        <v>1608</v>
      </c>
      <c r="K119" s="89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1"/>
    </row>
    <row r="120" spans="1:27" x14ac:dyDescent="0.2">
      <c r="A120" s="5"/>
      <c r="B120" s="68" t="s">
        <v>190</v>
      </c>
      <c r="C120" s="69" t="s">
        <v>190</v>
      </c>
      <c r="D120" s="69" t="s">
        <v>190</v>
      </c>
      <c r="E120" s="70" t="s">
        <v>190</v>
      </c>
      <c r="F120" s="5">
        <v>6</v>
      </c>
      <c r="G120" s="5"/>
      <c r="H120" s="5">
        <f t="shared" si="0"/>
        <v>0</v>
      </c>
      <c r="I120" s="4">
        <v>4</v>
      </c>
      <c r="J120" s="8">
        <f t="shared" si="3"/>
        <v>0</v>
      </c>
      <c r="K120" s="89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1"/>
    </row>
    <row r="121" spans="1:27" x14ac:dyDescent="0.2">
      <c r="A121" s="5"/>
      <c r="B121" s="68" t="s">
        <v>191</v>
      </c>
      <c r="C121" s="69" t="s">
        <v>191</v>
      </c>
      <c r="D121" s="69" t="s">
        <v>191</v>
      </c>
      <c r="E121" s="70" t="s">
        <v>191</v>
      </c>
      <c r="F121" s="5">
        <v>6</v>
      </c>
      <c r="G121" s="5"/>
      <c r="H121" s="5">
        <f t="shared" si="0"/>
        <v>0</v>
      </c>
      <c r="I121" s="4">
        <v>4</v>
      </c>
      <c r="J121" s="8">
        <f t="shared" si="3"/>
        <v>0</v>
      </c>
      <c r="K121" s="89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1"/>
    </row>
    <row r="122" spans="1:27" x14ac:dyDescent="0.2">
      <c r="A122" s="5"/>
      <c r="B122" s="68" t="s">
        <v>192</v>
      </c>
      <c r="C122" s="69" t="s">
        <v>192</v>
      </c>
      <c r="D122" s="69" t="s">
        <v>192</v>
      </c>
      <c r="E122" s="70" t="s">
        <v>192</v>
      </c>
      <c r="F122" s="5">
        <v>6</v>
      </c>
      <c r="G122" s="5"/>
      <c r="H122" s="5">
        <f t="shared" si="0"/>
        <v>0</v>
      </c>
      <c r="I122" s="4">
        <v>6.7</v>
      </c>
      <c r="J122" s="8">
        <f t="shared" si="3"/>
        <v>0</v>
      </c>
      <c r="K122" s="89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1"/>
    </row>
    <row r="123" spans="1:27" x14ac:dyDescent="0.2">
      <c r="A123" s="5"/>
      <c r="B123" s="68"/>
      <c r="C123" s="69"/>
      <c r="D123" s="69"/>
      <c r="E123" s="70"/>
      <c r="F123" s="5">
        <v>6</v>
      </c>
      <c r="G123" s="5"/>
      <c r="H123" s="5">
        <f t="shared" si="0"/>
        <v>0</v>
      </c>
      <c r="I123" s="4"/>
      <c r="J123" s="8">
        <f t="shared" si="3"/>
        <v>0</v>
      </c>
      <c r="K123" s="89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1"/>
    </row>
    <row r="124" spans="1:27" x14ac:dyDescent="0.2">
      <c r="A124" s="5"/>
      <c r="B124" s="68" t="s">
        <v>193</v>
      </c>
      <c r="C124" s="69" t="s">
        <v>193</v>
      </c>
      <c r="D124" s="69" t="s">
        <v>193</v>
      </c>
      <c r="E124" s="70" t="s">
        <v>193</v>
      </c>
      <c r="F124" s="5">
        <v>6</v>
      </c>
      <c r="G124" s="5"/>
      <c r="H124" s="5">
        <f t="shared" si="0"/>
        <v>0</v>
      </c>
      <c r="I124" s="4">
        <v>5</v>
      </c>
      <c r="J124" s="8">
        <f t="shared" si="3"/>
        <v>0</v>
      </c>
      <c r="K124" s="89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1"/>
    </row>
    <row r="125" spans="1:27" x14ac:dyDescent="0.2">
      <c r="A125" s="5"/>
      <c r="B125" s="68" t="s">
        <v>194</v>
      </c>
      <c r="C125" s="69" t="s">
        <v>194</v>
      </c>
      <c r="D125" s="69" t="s">
        <v>194</v>
      </c>
      <c r="E125" s="70" t="s">
        <v>194</v>
      </c>
      <c r="F125" s="5">
        <v>6</v>
      </c>
      <c r="G125" s="5"/>
      <c r="H125" s="5">
        <f t="shared" si="0"/>
        <v>0</v>
      </c>
      <c r="I125" s="4">
        <v>6.7</v>
      </c>
      <c r="J125" s="8">
        <f t="shared" si="3"/>
        <v>0</v>
      </c>
      <c r="K125" s="89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1"/>
    </row>
    <row r="126" spans="1:27" x14ac:dyDescent="0.2">
      <c r="A126" s="5"/>
      <c r="B126" s="68" t="s">
        <v>195</v>
      </c>
      <c r="C126" s="69" t="s">
        <v>195</v>
      </c>
      <c r="D126" s="69" t="s">
        <v>195</v>
      </c>
      <c r="E126" s="70" t="s">
        <v>195</v>
      </c>
      <c r="F126" s="5">
        <v>6</v>
      </c>
      <c r="G126" s="5"/>
      <c r="H126" s="5">
        <f t="shared" si="0"/>
        <v>0</v>
      </c>
      <c r="I126" s="4">
        <v>6</v>
      </c>
      <c r="J126" s="8">
        <f t="shared" si="3"/>
        <v>0</v>
      </c>
      <c r="K126" s="89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1"/>
    </row>
    <row r="127" spans="1:27" x14ac:dyDescent="0.2">
      <c r="A127" s="5"/>
      <c r="B127" s="68" t="s">
        <v>196</v>
      </c>
      <c r="C127" s="69" t="s">
        <v>196</v>
      </c>
      <c r="D127" s="69" t="s">
        <v>196</v>
      </c>
      <c r="E127" s="70" t="s">
        <v>196</v>
      </c>
      <c r="F127" s="5">
        <v>6</v>
      </c>
      <c r="G127" s="5"/>
      <c r="H127" s="5">
        <f t="shared" si="0"/>
        <v>0</v>
      </c>
      <c r="I127" s="4">
        <v>6</v>
      </c>
      <c r="J127" s="8">
        <f t="shared" si="3"/>
        <v>0</v>
      </c>
      <c r="K127" s="89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1"/>
    </row>
    <row r="128" spans="1:27" x14ac:dyDescent="0.2">
      <c r="A128" s="5">
        <v>689</v>
      </c>
      <c r="B128" s="68" t="s">
        <v>197</v>
      </c>
      <c r="C128" s="69" t="s">
        <v>197</v>
      </c>
      <c r="D128" s="69" t="s">
        <v>197</v>
      </c>
      <c r="E128" s="70" t="s">
        <v>197</v>
      </c>
      <c r="F128" s="5">
        <v>6</v>
      </c>
      <c r="G128" s="5">
        <v>80</v>
      </c>
      <c r="H128" s="5">
        <f t="shared" si="0"/>
        <v>480</v>
      </c>
      <c r="I128" s="4">
        <v>6.7</v>
      </c>
      <c r="J128" s="8">
        <f t="shared" si="3"/>
        <v>3216</v>
      </c>
      <c r="K128" s="89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1"/>
    </row>
    <row r="129" spans="1:27" x14ac:dyDescent="0.2">
      <c r="A129" s="5"/>
      <c r="B129" s="68"/>
      <c r="C129" s="69"/>
      <c r="D129" s="69"/>
      <c r="E129" s="70"/>
      <c r="F129" s="5">
        <v>6</v>
      </c>
      <c r="G129" s="5"/>
      <c r="H129" s="5">
        <f t="shared" si="0"/>
        <v>0</v>
      </c>
      <c r="I129" s="4"/>
      <c r="J129" s="8">
        <f t="shared" si="3"/>
        <v>0</v>
      </c>
      <c r="K129" s="89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1"/>
    </row>
    <row r="130" spans="1:27" x14ac:dyDescent="0.2">
      <c r="A130" s="5"/>
      <c r="B130" s="68" t="s">
        <v>198</v>
      </c>
      <c r="C130" s="69"/>
      <c r="D130" s="69"/>
      <c r="E130" s="70"/>
      <c r="F130" s="5">
        <v>6</v>
      </c>
      <c r="G130" s="5"/>
      <c r="H130" s="5">
        <f t="shared" si="0"/>
        <v>0</v>
      </c>
      <c r="I130" s="4"/>
      <c r="J130" s="8">
        <f t="shared" si="3"/>
        <v>0</v>
      </c>
      <c r="K130" s="89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1"/>
    </row>
    <row r="131" spans="1:27" x14ac:dyDescent="0.2">
      <c r="A131" s="5"/>
      <c r="B131" s="68"/>
      <c r="C131" s="69"/>
      <c r="D131" s="69"/>
      <c r="E131" s="70"/>
      <c r="F131" s="5">
        <v>6</v>
      </c>
      <c r="G131" s="5"/>
      <c r="H131" s="5">
        <f t="shared" si="0"/>
        <v>0</v>
      </c>
      <c r="I131" s="4"/>
      <c r="J131" s="8">
        <f t="shared" si="3"/>
        <v>0</v>
      </c>
      <c r="K131" s="89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1"/>
    </row>
    <row r="132" spans="1:27" x14ac:dyDescent="0.2">
      <c r="A132" s="5"/>
      <c r="B132" s="68" t="s">
        <v>199</v>
      </c>
      <c r="C132" s="69"/>
      <c r="D132" s="69"/>
      <c r="E132" s="70"/>
      <c r="F132" s="5">
        <v>6</v>
      </c>
      <c r="G132" s="5"/>
      <c r="H132" s="5">
        <f t="shared" si="0"/>
        <v>0</v>
      </c>
      <c r="I132" s="4">
        <v>6.7</v>
      </c>
      <c r="J132" s="8">
        <f t="shared" si="3"/>
        <v>0</v>
      </c>
      <c r="K132" s="89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1"/>
    </row>
    <row r="133" spans="1:27" x14ac:dyDescent="0.2">
      <c r="A133" s="5"/>
      <c r="B133" s="68" t="s">
        <v>200</v>
      </c>
      <c r="C133" s="69"/>
      <c r="D133" s="69"/>
      <c r="E133" s="70"/>
      <c r="F133" s="5">
        <v>6</v>
      </c>
      <c r="G133" s="5"/>
      <c r="H133" s="5">
        <f t="shared" si="0"/>
        <v>0</v>
      </c>
      <c r="I133" s="4">
        <v>6.7</v>
      </c>
      <c r="J133" s="8">
        <f t="shared" si="3"/>
        <v>0</v>
      </c>
      <c r="K133" s="89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1"/>
    </row>
    <row r="134" spans="1:27" x14ac:dyDescent="0.2">
      <c r="A134" s="5"/>
      <c r="B134" s="68"/>
      <c r="C134" s="69"/>
      <c r="D134" s="69"/>
      <c r="E134" s="70"/>
      <c r="F134" s="5"/>
      <c r="G134" s="5"/>
      <c r="H134" s="5">
        <f t="shared" si="0"/>
        <v>0</v>
      </c>
      <c r="I134" s="4"/>
      <c r="J134" s="8">
        <f t="shared" si="3"/>
        <v>0</v>
      </c>
      <c r="K134" s="89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1"/>
    </row>
    <row r="135" spans="1:27" x14ac:dyDescent="0.2">
      <c r="A135" s="5">
        <v>705</v>
      </c>
      <c r="B135" s="68" t="s">
        <v>201</v>
      </c>
      <c r="C135" s="69"/>
      <c r="D135" s="69"/>
      <c r="E135" s="70"/>
      <c r="F135" s="5">
        <v>6</v>
      </c>
      <c r="G135" s="5"/>
      <c r="H135" s="5">
        <f t="shared" si="0"/>
        <v>0</v>
      </c>
      <c r="I135" s="4">
        <v>6.9</v>
      </c>
      <c r="J135" s="8">
        <f t="shared" si="3"/>
        <v>0</v>
      </c>
      <c r="K135" s="89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1"/>
    </row>
    <row r="136" spans="1:27" x14ac:dyDescent="0.2">
      <c r="A136" s="5">
        <v>706</v>
      </c>
      <c r="B136" s="68" t="s">
        <v>201</v>
      </c>
      <c r="C136" s="69"/>
      <c r="D136" s="69"/>
      <c r="E136" s="70"/>
      <c r="F136" s="5">
        <v>6</v>
      </c>
      <c r="G136" s="5"/>
      <c r="H136" s="5">
        <f t="shared" si="0"/>
        <v>0</v>
      </c>
      <c r="I136" s="4">
        <v>6.9</v>
      </c>
      <c r="J136" s="8">
        <f t="shared" si="3"/>
        <v>0</v>
      </c>
      <c r="K136" s="89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1"/>
    </row>
    <row r="137" spans="1:27" x14ac:dyDescent="0.2">
      <c r="A137" s="5">
        <v>713</v>
      </c>
      <c r="B137" s="68" t="s">
        <v>201</v>
      </c>
      <c r="C137" s="69"/>
      <c r="D137" s="69"/>
      <c r="E137" s="70"/>
      <c r="F137" s="5">
        <v>6</v>
      </c>
      <c r="G137" s="5"/>
      <c r="H137" s="5">
        <f t="shared" si="0"/>
        <v>0</v>
      </c>
      <c r="I137" s="4">
        <v>6.9</v>
      </c>
      <c r="J137" s="8">
        <f t="shared" si="3"/>
        <v>0</v>
      </c>
      <c r="K137" s="89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1"/>
    </row>
    <row r="138" spans="1:27" x14ac:dyDescent="0.2">
      <c r="A138" s="5">
        <v>708</v>
      </c>
      <c r="B138" s="68" t="s">
        <v>201</v>
      </c>
      <c r="C138" s="69"/>
      <c r="D138" s="69"/>
      <c r="E138" s="70"/>
      <c r="F138" s="5">
        <v>6</v>
      </c>
      <c r="G138" s="5">
        <v>45</v>
      </c>
      <c r="H138" s="5">
        <f t="shared" si="0"/>
        <v>270</v>
      </c>
      <c r="I138" s="4">
        <v>6.9</v>
      </c>
      <c r="J138" s="8">
        <f t="shared" si="3"/>
        <v>1863</v>
      </c>
      <c r="K138" s="89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1"/>
    </row>
    <row r="139" spans="1:27" x14ac:dyDescent="0.2">
      <c r="A139" s="5">
        <v>709</v>
      </c>
      <c r="B139" s="68" t="s">
        <v>201</v>
      </c>
      <c r="C139" s="69"/>
      <c r="D139" s="69"/>
      <c r="E139" s="70"/>
      <c r="F139" s="5">
        <v>6</v>
      </c>
      <c r="G139" s="5">
        <v>45</v>
      </c>
      <c r="H139" s="5">
        <f t="shared" si="0"/>
        <v>270</v>
      </c>
      <c r="I139" s="4">
        <v>6.9</v>
      </c>
      <c r="J139" s="8">
        <f t="shared" si="3"/>
        <v>1863</v>
      </c>
      <c r="K139" s="89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1"/>
    </row>
    <row r="140" spans="1:27" x14ac:dyDescent="0.2">
      <c r="A140" s="5">
        <v>714</v>
      </c>
      <c r="B140" s="68" t="s">
        <v>201</v>
      </c>
      <c r="C140" s="69"/>
      <c r="D140" s="69"/>
      <c r="E140" s="70"/>
      <c r="F140" s="5">
        <v>6</v>
      </c>
      <c r="G140" s="5">
        <v>45</v>
      </c>
      <c r="H140" s="5">
        <f t="shared" si="0"/>
        <v>270</v>
      </c>
      <c r="I140" s="4">
        <v>6.9</v>
      </c>
      <c r="J140" s="8">
        <f t="shared" si="3"/>
        <v>1863</v>
      </c>
      <c r="K140" s="89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1"/>
    </row>
    <row r="141" spans="1:27" x14ac:dyDescent="0.2">
      <c r="A141" s="5">
        <v>1864</v>
      </c>
      <c r="B141" s="68" t="s">
        <v>220</v>
      </c>
      <c r="C141" s="69"/>
      <c r="D141" s="69"/>
      <c r="E141" s="70"/>
      <c r="F141" s="5">
        <v>6</v>
      </c>
      <c r="G141" s="5">
        <v>30</v>
      </c>
      <c r="H141" s="5">
        <f t="shared" si="0"/>
        <v>180</v>
      </c>
      <c r="I141" s="4">
        <v>6.7</v>
      </c>
      <c r="J141" s="8">
        <f t="shared" si="3"/>
        <v>1206</v>
      </c>
      <c r="K141" s="89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1"/>
    </row>
    <row r="142" spans="1:27" x14ac:dyDescent="0.2">
      <c r="A142" s="5">
        <v>2028</v>
      </c>
      <c r="B142" s="68" t="s">
        <v>221</v>
      </c>
      <c r="C142" s="69"/>
      <c r="D142" s="69"/>
      <c r="E142" s="70"/>
      <c r="F142" s="5">
        <v>6</v>
      </c>
      <c r="G142" s="5">
        <v>30</v>
      </c>
      <c r="H142" s="5">
        <f t="shared" ref="H142:H172" si="4">F142*G142</f>
        <v>180</v>
      </c>
      <c r="I142" s="4">
        <v>6.7</v>
      </c>
      <c r="J142" s="8">
        <f t="shared" si="3"/>
        <v>1206</v>
      </c>
      <c r="K142" s="89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1"/>
    </row>
    <row r="143" spans="1:27" x14ac:dyDescent="0.2">
      <c r="A143" s="5">
        <v>2029</v>
      </c>
      <c r="B143" s="68" t="s">
        <v>222</v>
      </c>
      <c r="C143" s="69"/>
      <c r="D143" s="69"/>
      <c r="E143" s="70"/>
      <c r="F143" s="5">
        <v>6</v>
      </c>
      <c r="G143" s="5">
        <v>60</v>
      </c>
      <c r="H143" s="5">
        <f t="shared" si="4"/>
        <v>360</v>
      </c>
      <c r="I143" s="4">
        <v>6.7</v>
      </c>
      <c r="J143" s="8">
        <f t="shared" si="3"/>
        <v>2412</v>
      </c>
      <c r="K143" s="89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1"/>
    </row>
    <row r="144" spans="1:27" x14ac:dyDescent="0.2">
      <c r="A144" s="5">
        <v>4030</v>
      </c>
      <c r="B144" s="68" t="s">
        <v>223</v>
      </c>
      <c r="C144" s="69"/>
      <c r="D144" s="69"/>
      <c r="E144" s="70"/>
      <c r="F144" s="5">
        <v>12</v>
      </c>
      <c r="G144" s="5">
        <v>30</v>
      </c>
      <c r="H144" s="5">
        <f t="shared" si="4"/>
        <v>360</v>
      </c>
      <c r="I144" s="4">
        <v>6.7</v>
      </c>
      <c r="J144" s="8">
        <f t="shared" si="3"/>
        <v>2412</v>
      </c>
      <c r="K144" s="89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1"/>
    </row>
    <row r="145" spans="1:27" x14ac:dyDescent="0.2">
      <c r="A145" s="5">
        <v>4031</v>
      </c>
      <c r="B145" s="68" t="s">
        <v>224</v>
      </c>
      <c r="C145" s="69"/>
      <c r="D145" s="69"/>
      <c r="E145" s="70"/>
      <c r="F145" s="5">
        <v>12</v>
      </c>
      <c r="G145" s="5">
        <v>30</v>
      </c>
      <c r="H145" s="5">
        <f t="shared" si="4"/>
        <v>360</v>
      </c>
      <c r="I145" s="4">
        <v>6.7</v>
      </c>
      <c r="J145" s="8">
        <f t="shared" si="3"/>
        <v>2412</v>
      </c>
      <c r="K145" s="89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1"/>
    </row>
    <row r="146" spans="1:27" x14ac:dyDescent="0.2">
      <c r="A146" s="5">
        <v>4032</v>
      </c>
      <c r="B146" s="68" t="s">
        <v>225</v>
      </c>
      <c r="C146" s="69"/>
      <c r="D146" s="69"/>
      <c r="E146" s="70"/>
      <c r="F146" s="5">
        <v>12</v>
      </c>
      <c r="G146" s="5">
        <v>30</v>
      </c>
      <c r="H146" s="5">
        <f t="shared" si="4"/>
        <v>360</v>
      </c>
      <c r="I146" s="4">
        <v>6.7</v>
      </c>
      <c r="J146" s="8">
        <f t="shared" si="3"/>
        <v>2412</v>
      </c>
      <c r="K146" s="89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1"/>
    </row>
    <row r="147" spans="1:27" x14ac:dyDescent="0.2">
      <c r="A147" s="5">
        <v>719</v>
      </c>
      <c r="B147" s="68" t="s">
        <v>202</v>
      </c>
      <c r="C147" s="69"/>
      <c r="D147" s="69"/>
      <c r="E147" s="70"/>
      <c r="F147" s="5">
        <v>6</v>
      </c>
      <c r="G147" s="5">
        <v>50</v>
      </c>
      <c r="H147" s="5">
        <f t="shared" ref="H147:H157" si="5">F147*G147</f>
        <v>300</v>
      </c>
      <c r="I147" s="4">
        <v>6.9</v>
      </c>
      <c r="J147" s="8">
        <f t="shared" si="3"/>
        <v>2070</v>
      </c>
      <c r="K147" s="89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1"/>
    </row>
    <row r="148" spans="1:27" x14ac:dyDescent="0.2">
      <c r="A148" s="5">
        <v>723</v>
      </c>
      <c r="B148" s="68" t="s">
        <v>203</v>
      </c>
      <c r="C148" s="69"/>
      <c r="D148" s="69"/>
      <c r="E148" s="70"/>
      <c r="F148" s="5">
        <v>6</v>
      </c>
      <c r="G148" s="5"/>
      <c r="H148" s="5">
        <f t="shared" si="5"/>
        <v>0</v>
      </c>
      <c r="I148" s="4">
        <v>6.9</v>
      </c>
      <c r="J148" s="8">
        <f t="shared" si="3"/>
        <v>0</v>
      </c>
      <c r="K148" s="89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1"/>
    </row>
    <row r="149" spans="1:27" x14ac:dyDescent="0.2">
      <c r="A149" s="5">
        <v>725</v>
      </c>
      <c r="B149" s="68" t="s">
        <v>204</v>
      </c>
      <c r="C149" s="69"/>
      <c r="D149" s="69"/>
      <c r="E149" s="70"/>
      <c r="F149" s="5">
        <v>6</v>
      </c>
      <c r="G149" s="5">
        <v>40</v>
      </c>
      <c r="H149" s="5">
        <f t="shared" si="5"/>
        <v>240</v>
      </c>
      <c r="I149" s="4">
        <v>6.1</v>
      </c>
      <c r="J149" s="8">
        <f t="shared" si="3"/>
        <v>1464</v>
      </c>
      <c r="K149" s="89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1"/>
    </row>
    <row r="150" spans="1:27" x14ac:dyDescent="0.2">
      <c r="A150" s="5">
        <v>724</v>
      </c>
      <c r="B150" s="68" t="s">
        <v>205</v>
      </c>
      <c r="C150" s="69"/>
      <c r="D150" s="69"/>
      <c r="E150" s="70"/>
      <c r="F150" s="5">
        <v>6</v>
      </c>
      <c r="G150" s="5">
        <v>50</v>
      </c>
      <c r="H150" s="5">
        <f t="shared" si="5"/>
        <v>300</v>
      </c>
      <c r="I150" s="4">
        <v>6.1</v>
      </c>
      <c r="J150" s="8">
        <f t="shared" si="3"/>
        <v>1830</v>
      </c>
      <c r="K150" s="89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1"/>
    </row>
    <row r="151" spans="1:27" x14ac:dyDescent="0.2">
      <c r="A151" s="5">
        <v>730</v>
      </c>
      <c r="B151" s="68" t="s">
        <v>206</v>
      </c>
      <c r="C151" s="69"/>
      <c r="D151" s="69"/>
      <c r="E151" s="70"/>
      <c r="F151" s="5">
        <v>18</v>
      </c>
      <c r="G151" s="5">
        <v>35</v>
      </c>
      <c r="H151" s="5">
        <f t="shared" si="5"/>
        <v>630</v>
      </c>
      <c r="I151" s="4">
        <v>6.9</v>
      </c>
      <c r="J151" s="8">
        <f t="shared" si="3"/>
        <v>4347</v>
      </c>
      <c r="K151" s="89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1"/>
    </row>
    <row r="152" spans="1:27" x14ac:dyDescent="0.2">
      <c r="A152" s="5">
        <v>729</v>
      </c>
      <c r="B152" s="68" t="s">
        <v>207</v>
      </c>
      <c r="C152" s="69"/>
      <c r="D152" s="69"/>
      <c r="E152" s="70"/>
      <c r="F152" s="5">
        <v>18</v>
      </c>
      <c r="G152" s="5">
        <v>30</v>
      </c>
      <c r="H152" s="5">
        <f t="shared" si="5"/>
        <v>540</v>
      </c>
      <c r="I152" s="4">
        <v>6.9</v>
      </c>
      <c r="J152" s="8">
        <f t="shared" si="3"/>
        <v>3726</v>
      </c>
      <c r="K152" s="89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1"/>
    </row>
    <row r="153" spans="1:27" x14ac:dyDescent="0.2">
      <c r="A153" s="5">
        <v>727</v>
      </c>
      <c r="B153" s="68" t="s">
        <v>208</v>
      </c>
      <c r="C153" s="69"/>
      <c r="D153" s="69"/>
      <c r="E153" s="70"/>
      <c r="F153" s="5">
        <v>6</v>
      </c>
      <c r="G153" s="5">
        <v>35</v>
      </c>
      <c r="H153" s="5">
        <f t="shared" si="5"/>
        <v>210</v>
      </c>
      <c r="I153" s="4">
        <v>6.9</v>
      </c>
      <c r="J153" s="8">
        <f t="shared" si="3"/>
        <v>1449</v>
      </c>
      <c r="K153" s="89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1"/>
    </row>
    <row r="154" spans="1:27" x14ac:dyDescent="0.2">
      <c r="A154" s="5">
        <v>726</v>
      </c>
      <c r="B154" s="68" t="s">
        <v>209</v>
      </c>
      <c r="C154" s="69"/>
      <c r="D154" s="69"/>
      <c r="E154" s="70"/>
      <c r="F154" s="5">
        <v>6</v>
      </c>
      <c r="G154" s="5">
        <v>35</v>
      </c>
      <c r="H154" s="5">
        <f t="shared" si="5"/>
        <v>210</v>
      </c>
      <c r="I154" s="4">
        <v>6.9</v>
      </c>
      <c r="J154" s="8">
        <f t="shared" si="3"/>
        <v>1449</v>
      </c>
      <c r="K154" s="89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1"/>
    </row>
    <row r="155" spans="1:27" x14ac:dyDescent="0.2">
      <c r="A155" s="5">
        <v>728</v>
      </c>
      <c r="B155" s="68" t="s">
        <v>210</v>
      </c>
      <c r="C155" s="69"/>
      <c r="D155" s="69"/>
      <c r="E155" s="70"/>
      <c r="F155" s="5">
        <v>6</v>
      </c>
      <c r="G155" s="5">
        <v>40</v>
      </c>
      <c r="H155" s="5">
        <f t="shared" si="5"/>
        <v>240</v>
      </c>
      <c r="I155" s="4">
        <v>6.9</v>
      </c>
      <c r="J155" s="8">
        <f t="shared" si="3"/>
        <v>1656</v>
      </c>
      <c r="K155" s="89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1"/>
    </row>
    <row r="156" spans="1:27" x14ac:dyDescent="0.2">
      <c r="A156" s="5">
        <v>731</v>
      </c>
      <c r="B156" s="68" t="s">
        <v>211</v>
      </c>
      <c r="C156" s="69"/>
      <c r="D156" s="69"/>
      <c r="E156" s="70"/>
      <c r="F156" s="5">
        <v>6</v>
      </c>
      <c r="G156" s="5"/>
      <c r="H156" s="5">
        <f t="shared" si="5"/>
        <v>0</v>
      </c>
      <c r="I156" s="4">
        <v>7.3</v>
      </c>
      <c r="J156" s="8">
        <f t="shared" si="3"/>
        <v>0</v>
      </c>
      <c r="K156" s="89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1"/>
    </row>
    <row r="157" spans="1:27" x14ac:dyDescent="0.2">
      <c r="A157" s="5">
        <v>733</v>
      </c>
      <c r="B157" s="68" t="s">
        <v>212</v>
      </c>
      <c r="C157" s="69"/>
      <c r="D157" s="69"/>
      <c r="E157" s="70"/>
      <c r="F157" s="5">
        <v>6</v>
      </c>
      <c r="G157" s="5"/>
      <c r="H157" s="5">
        <f t="shared" si="5"/>
        <v>0</v>
      </c>
      <c r="I157" s="4">
        <v>7.3</v>
      </c>
      <c r="J157" s="8">
        <f t="shared" si="3"/>
        <v>0</v>
      </c>
      <c r="K157" s="89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1"/>
    </row>
    <row r="158" spans="1:27" x14ac:dyDescent="0.2">
      <c r="A158" s="5"/>
      <c r="B158" s="68" t="s">
        <v>213</v>
      </c>
      <c r="C158" s="69"/>
      <c r="D158" s="69"/>
      <c r="E158" s="70"/>
      <c r="F158" s="5">
        <v>6</v>
      </c>
      <c r="G158" s="5"/>
      <c r="H158" s="5">
        <f t="shared" si="4"/>
        <v>0</v>
      </c>
      <c r="I158" s="4">
        <v>6</v>
      </c>
      <c r="J158" s="8">
        <f t="shared" si="3"/>
        <v>0</v>
      </c>
      <c r="K158" s="89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1"/>
    </row>
    <row r="159" spans="1:27" x14ac:dyDescent="0.2">
      <c r="A159" s="5"/>
      <c r="B159" s="68" t="s">
        <v>214</v>
      </c>
      <c r="C159" s="69"/>
      <c r="D159" s="69"/>
      <c r="E159" s="70"/>
      <c r="F159" s="5">
        <v>6</v>
      </c>
      <c r="G159" s="5"/>
      <c r="H159" s="5">
        <f t="shared" si="4"/>
        <v>0</v>
      </c>
      <c r="I159" s="4">
        <v>6</v>
      </c>
      <c r="J159" s="8">
        <f t="shared" si="3"/>
        <v>0</v>
      </c>
      <c r="K159" s="89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1"/>
    </row>
    <row r="160" spans="1:27" x14ac:dyDescent="0.2">
      <c r="A160" s="5"/>
      <c r="B160" s="68" t="s">
        <v>215</v>
      </c>
      <c r="C160" s="69"/>
      <c r="D160" s="69"/>
      <c r="E160" s="70"/>
      <c r="F160" s="5">
        <v>6</v>
      </c>
      <c r="G160" s="5"/>
      <c r="H160" s="5">
        <f t="shared" si="4"/>
        <v>0</v>
      </c>
      <c r="I160" s="4">
        <v>6.8</v>
      </c>
      <c r="J160" s="8">
        <f t="shared" si="3"/>
        <v>0</v>
      </c>
      <c r="K160" s="89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1"/>
    </row>
    <row r="161" spans="1:27" x14ac:dyDescent="0.2">
      <c r="A161" s="5"/>
      <c r="B161" s="68" t="s">
        <v>216</v>
      </c>
      <c r="C161" s="69"/>
      <c r="D161" s="69"/>
      <c r="E161" s="70"/>
      <c r="F161" s="5">
        <v>6</v>
      </c>
      <c r="G161" s="5"/>
      <c r="H161" s="5">
        <f t="shared" si="4"/>
        <v>0</v>
      </c>
      <c r="I161" s="4">
        <v>6.8</v>
      </c>
      <c r="J161" s="8">
        <f t="shared" si="3"/>
        <v>0</v>
      </c>
      <c r="K161" s="89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1"/>
    </row>
    <row r="162" spans="1:27" x14ac:dyDescent="0.2">
      <c r="A162" s="5"/>
      <c r="B162" s="68" t="s">
        <v>217</v>
      </c>
      <c r="C162" s="69"/>
      <c r="D162" s="69"/>
      <c r="E162" s="70"/>
      <c r="F162" s="5">
        <v>6</v>
      </c>
      <c r="G162" s="5">
        <v>60</v>
      </c>
      <c r="H162" s="5">
        <f t="shared" si="4"/>
        <v>360</v>
      </c>
      <c r="I162" s="4">
        <v>6.8</v>
      </c>
      <c r="J162" s="8">
        <f t="shared" si="3"/>
        <v>2448</v>
      </c>
      <c r="K162" s="89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1"/>
    </row>
    <row r="163" spans="1:27" x14ac:dyDescent="0.2">
      <c r="A163" s="5"/>
      <c r="B163" s="68" t="s">
        <v>218</v>
      </c>
      <c r="C163" s="69"/>
      <c r="D163" s="69"/>
      <c r="E163" s="70"/>
      <c r="F163" s="5">
        <v>6</v>
      </c>
      <c r="G163" s="5">
        <v>60</v>
      </c>
      <c r="H163" s="5">
        <f t="shared" si="4"/>
        <v>360</v>
      </c>
      <c r="I163" s="4">
        <v>6.8</v>
      </c>
      <c r="J163" s="8">
        <f t="shared" si="3"/>
        <v>2448</v>
      </c>
      <c r="K163" s="89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1"/>
    </row>
    <row r="164" spans="1:27" x14ac:dyDescent="0.2">
      <c r="A164" s="5">
        <v>4103</v>
      </c>
      <c r="B164" s="68" t="s">
        <v>219</v>
      </c>
      <c r="C164" s="69"/>
      <c r="D164" s="69"/>
      <c r="E164" s="70"/>
      <c r="F164" s="5">
        <v>6</v>
      </c>
      <c r="G164" s="5"/>
      <c r="H164" s="5">
        <f t="shared" si="4"/>
        <v>0</v>
      </c>
      <c r="I164" s="4">
        <v>6.8</v>
      </c>
      <c r="J164" s="8">
        <f t="shared" si="3"/>
        <v>0</v>
      </c>
      <c r="K164" s="89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1"/>
    </row>
    <row r="165" spans="1:27" x14ac:dyDescent="0.2">
      <c r="A165" s="5"/>
      <c r="B165" s="68"/>
      <c r="C165" s="69"/>
      <c r="D165" s="69"/>
      <c r="E165" s="70"/>
      <c r="F165" s="5"/>
      <c r="G165" s="5"/>
      <c r="H165" s="5">
        <f t="shared" si="4"/>
        <v>0</v>
      </c>
      <c r="I165" s="4"/>
      <c r="J165" s="8">
        <f t="shared" si="3"/>
        <v>0</v>
      </c>
      <c r="K165" s="89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1"/>
    </row>
    <row r="166" spans="1:27" x14ac:dyDescent="0.2">
      <c r="A166" s="5"/>
      <c r="B166" s="68"/>
      <c r="C166" s="69"/>
      <c r="D166" s="69"/>
      <c r="E166" s="70"/>
      <c r="F166" s="5"/>
      <c r="G166" s="5"/>
      <c r="H166" s="5">
        <f t="shared" si="4"/>
        <v>0</v>
      </c>
      <c r="I166" s="4"/>
      <c r="J166" s="8">
        <f t="shared" si="3"/>
        <v>0</v>
      </c>
      <c r="K166" s="89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1"/>
    </row>
    <row r="167" spans="1:27" x14ac:dyDescent="0.2">
      <c r="A167" s="5"/>
      <c r="B167" s="68"/>
      <c r="C167" s="69"/>
      <c r="D167" s="69"/>
      <c r="E167" s="70"/>
      <c r="F167" s="5"/>
      <c r="G167" s="5"/>
      <c r="H167" s="5">
        <f t="shared" si="4"/>
        <v>0</v>
      </c>
      <c r="I167" s="4"/>
      <c r="J167" s="8">
        <f t="shared" si="3"/>
        <v>0</v>
      </c>
      <c r="K167" s="89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1"/>
    </row>
    <row r="168" spans="1:27" x14ac:dyDescent="0.2">
      <c r="A168" s="97" t="s">
        <v>37</v>
      </c>
      <c r="B168" s="98"/>
      <c r="C168" s="99"/>
      <c r="D168" s="99"/>
      <c r="E168" s="100"/>
      <c r="F168" s="5"/>
      <c r="G168" s="5"/>
      <c r="H168" s="5">
        <f t="shared" si="4"/>
        <v>0</v>
      </c>
      <c r="I168" s="4"/>
      <c r="J168" s="8">
        <f t="shared" si="3"/>
        <v>0</v>
      </c>
      <c r="K168" s="89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1"/>
    </row>
    <row r="169" spans="1:27" x14ac:dyDescent="0.2">
      <c r="A169" s="97"/>
      <c r="B169" s="101"/>
      <c r="C169" s="102"/>
      <c r="D169" s="102"/>
      <c r="E169" s="103"/>
      <c r="F169" s="5"/>
      <c r="G169" s="5"/>
      <c r="H169" s="5">
        <f t="shared" si="4"/>
        <v>0</v>
      </c>
      <c r="I169" s="4"/>
      <c r="J169" s="8">
        <f t="shared" si="3"/>
        <v>0</v>
      </c>
      <c r="K169" s="89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1"/>
    </row>
    <row r="170" spans="1:27" x14ac:dyDescent="0.2">
      <c r="A170" s="113" t="s">
        <v>41</v>
      </c>
      <c r="B170" s="116" t="s">
        <v>39</v>
      </c>
      <c r="C170" s="116"/>
      <c r="D170" s="116" t="s">
        <v>40</v>
      </c>
      <c r="E170" s="116"/>
      <c r="F170" s="5"/>
      <c r="G170" s="5"/>
      <c r="H170" s="5">
        <f t="shared" si="4"/>
        <v>0</v>
      </c>
      <c r="I170" s="4"/>
      <c r="J170" s="8">
        <f t="shared" si="3"/>
        <v>0</v>
      </c>
      <c r="K170" s="89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1"/>
    </row>
    <row r="171" spans="1:27" x14ac:dyDescent="0.2">
      <c r="A171" s="113"/>
      <c r="B171" s="116"/>
      <c r="C171" s="116"/>
      <c r="D171" s="116"/>
      <c r="E171" s="116"/>
      <c r="F171" s="5"/>
      <c r="G171" s="5"/>
      <c r="H171" s="5">
        <f t="shared" si="4"/>
        <v>0</v>
      </c>
      <c r="I171" s="4"/>
      <c r="J171" s="8">
        <f t="shared" si="3"/>
        <v>0</v>
      </c>
      <c r="K171" s="89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1"/>
    </row>
    <row r="172" spans="1:27" x14ac:dyDescent="0.2">
      <c r="A172" s="110" t="s">
        <v>38</v>
      </c>
      <c r="B172" s="111"/>
      <c r="C172" s="111"/>
      <c r="D172" s="111"/>
      <c r="E172" s="112"/>
      <c r="F172" s="5"/>
      <c r="G172" s="5"/>
      <c r="H172" s="5">
        <f t="shared" si="4"/>
        <v>0</v>
      </c>
      <c r="I172" s="4"/>
      <c r="J172" s="8">
        <f t="shared" si="3"/>
        <v>0</v>
      </c>
      <c r="K172" s="92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4"/>
    </row>
    <row r="173" spans="1:27" x14ac:dyDescent="0.2">
      <c r="A173" s="68"/>
      <c r="B173" s="69"/>
      <c r="C173" s="69"/>
      <c r="D173" s="69"/>
      <c r="E173" s="69"/>
      <c r="F173" s="70"/>
      <c r="G173" s="6">
        <f t="shared" ref="G173:H173" si="6">SUM(G9:G172)</f>
        <v>2325</v>
      </c>
      <c r="H173" s="6">
        <f t="shared" si="6"/>
        <v>15270</v>
      </c>
      <c r="I173" s="16"/>
      <c r="J173" s="83">
        <f>SUM(J9:J172)</f>
        <v>100275</v>
      </c>
      <c r="K173" s="84"/>
      <c r="L173" s="84"/>
      <c r="M173" s="85"/>
      <c r="N173" s="95" t="s">
        <v>14</v>
      </c>
      <c r="O173" s="96"/>
      <c r="P173" s="96"/>
      <c r="Q173" s="96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</row>
    <row r="174" spans="1:27" x14ac:dyDescent="0.2">
      <c r="A174" s="80" t="s">
        <v>22</v>
      </c>
      <c r="B174" s="81"/>
      <c r="C174" s="81"/>
      <c r="D174" s="81"/>
      <c r="E174" s="81"/>
      <c r="F174" s="81"/>
      <c r="G174" s="81"/>
      <c r="H174" s="82"/>
      <c r="I174" s="15">
        <f>SUMIF(I9:I172,"&gt;0",J9:J172)/(SUMIF(I9:I172,"&gt;0",H9:H172))</f>
        <v>6.5667976424361489</v>
      </c>
      <c r="J174" s="105">
        <f>H173</f>
        <v>15270</v>
      </c>
      <c r="K174" s="106"/>
      <c r="L174" s="107"/>
      <c r="M174" s="68"/>
      <c r="N174" s="69"/>
      <c r="O174" s="69"/>
      <c r="P174" s="69"/>
      <c r="Q174" s="69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</row>
    <row r="175" spans="1:27" x14ac:dyDescent="0.2">
      <c r="I175" s="3"/>
    </row>
    <row r="176" spans="1:27" x14ac:dyDescent="0.2">
      <c r="I176" s="3"/>
    </row>
    <row r="177" spans="9:13" x14ac:dyDescent="0.2">
      <c r="I177" s="3"/>
      <c r="J177" s="10"/>
      <c r="K177" s="11"/>
      <c r="L177" s="11"/>
      <c r="M177" s="11"/>
    </row>
    <row r="178" spans="9:13" x14ac:dyDescent="0.2">
      <c r="I178" s="3"/>
      <c r="J178" s="10"/>
      <c r="K178" s="12"/>
      <c r="L178" s="12"/>
      <c r="M178" s="12"/>
    </row>
    <row r="179" spans="9:13" x14ac:dyDescent="0.2">
      <c r="I179" s="3"/>
      <c r="J179" s="9"/>
      <c r="K179" s="11"/>
      <c r="L179" s="11"/>
      <c r="M179" s="11"/>
    </row>
    <row r="180" spans="9:13" x14ac:dyDescent="0.2">
      <c r="I180" s="3"/>
      <c r="J180" s="10"/>
      <c r="K180" s="11"/>
      <c r="L180" s="11"/>
      <c r="M180" s="11"/>
    </row>
    <row r="181" spans="9:13" x14ac:dyDescent="0.2">
      <c r="I181" s="3"/>
    </row>
    <row r="182" spans="9:13" x14ac:dyDescent="0.2">
      <c r="I182" s="3"/>
    </row>
    <row r="183" spans="9:13" x14ac:dyDescent="0.2">
      <c r="I183" s="3"/>
    </row>
    <row r="184" spans="9:13" x14ac:dyDescent="0.2">
      <c r="I184" s="3"/>
    </row>
    <row r="185" spans="9:13" x14ac:dyDescent="0.2">
      <c r="I185" s="3"/>
    </row>
    <row r="186" spans="9:13" x14ac:dyDescent="0.2">
      <c r="I186" s="3"/>
    </row>
    <row r="187" spans="9:13" x14ac:dyDescent="0.2">
      <c r="I187" s="3"/>
    </row>
    <row r="188" spans="9:13" x14ac:dyDescent="0.2">
      <c r="I188" s="3"/>
    </row>
    <row r="189" spans="9:13" x14ac:dyDescent="0.2">
      <c r="I189" s="3"/>
    </row>
    <row r="190" spans="9:13" x14ac:dyDescent="0.2">
      <c r="I190" s="3"/>
    </row>
    <row r="191" spans="9:13" x14ac:dyDescent="0.2">
      <c r="I191" s="3"/>
    </row>
    <row r="192" spans="9:13" x14ac:dyDescent="0.2">
      <c r="I192" s="3"/>
    </row>
    <row r="193" spans="9:9" x14ac:dyDescent="0.2">
      <c r="I193" s="3"/>
    </row>
    <row r="194" spans="9:9" x14ac:dyDescent="0.2">
      <c r="I194" s="3"/>
    </row>
    <row r="195" spans="9:9" x14ac:dyDescent="0.2">
      <c r="I195" s="3"/>
    </row>
    <row r="196" spans="9:9" x14ac:dyDescent="0.2">
      <c r="I196" s="3"/>
    </row>
    <row r="197" spans="9:9" x14ac:dyDescent="0.2">
      <c r="I197" s="3"/>
    </row>
    <row r="198" spans="9:9" x14ac:dyDescent="0.2">
      <c r="I198" s="3"/>
    </row>
    <row r="199" spans="9:9" x14ac:dyDescent="0.2">
      <c r="I199" s="3"/>
    </row>
    <row r="200" spans="9:9" x14ac:dyDescent="0.2">
      <c r="I200" s="3"/>
    </row>
    <row r="201" spans="9:9" x14ac:dyDescent="0.2">
      <c r="I201" s="3"/>
    </row>
    <row r="202" spans="9:9" x14ac:dyDescent="0.2">
      <c r="I202" s="3"/>
    </row>
    <row r="203" spans="9:9" x14ac:dyDescent="0.2">
      <c r="I203" s="3"/>
    </row>
    <row r="204" spans="9:9" x14ac:dyDescent="0.2">
      <c r="I204" s="3"/>
    </row>
    <row r="205" spans="9:9" x14ac:dyDescent="0.2">
      <c r="I205" s="3"/>
    </row>
    <row r="206" spans="9:9" x14ac:dyDescent="0.2">
      <c r="I206" s="3"/>
    </row>
    <row r="207" spans="9:9" x14ac:dyDescent="0.2">
      <c r="I207" s="3"/>
    </row>
    <row r="208" spans="9:9" x14ac:dyDescent="0.2">
      <c r="I208" s="3"/>
    </row>
    <row r="209" spans="9:9" x14ac:dyDescent="0.2">
      <c r="I209" s="3"/>
    </row>
    <row r="210" spans="9:9" x14ac:dyDescent="0.2">
      <c r="I210" s="3"/>
    </row>
    <row r="211" spans="9:9" x14ac:dyDescent="0.2">
      <c r="I211" s="3"/>
    </row>
    <row r="212" spans="9:9" x14ac:dyDescent="0.2">
      <c r="I212" s="3"/>
    </row>
    <row r="213" spans="9:9" x14ac:dyDescent="0.2">
      <c r="I213" s="3"/>
    </row>
    <row r="214" spans="9:9" x14ac:dyDescent="0.2">
      <c r="I214" s="3"/>
    </row>
    <row r="215" spans="9:9" x14ac:dyDescent="0.2">
      <c r="I215" s="3"/>
    </row>
    <row r="216" spans="9:9" x14ac:dyDescent="0.2">
      <c r="I216" s="3"/>
    </row>
    <row r="217" spans="9:9" x14ac:dyDescent="0.2">
      <c r="I217" s="3"/>
    </row>
    <row r="218" spans="9:9" x14ac:dyDescent="0.2">
      <c r="I218" s="3"/>
    </row>
    <row r="219" spans="9:9" x14ac:dyDescent="0.2">
      <c r="I219" s="3"/>
    </row>
    <row r="220" spans="9:9" x14ac:dyDescent="0.2">
      <c r="I220" s="3"/>
    </row>
    <row r="221" spans="9:9" x14ac:dyDescent="0.2">
      <c r="I221" s="3"/>
    </row>
    <row r="222" spans="9:9" x14ac:dyDescent="0.2">
      <c r="I222" s="3"/>
    </row>
    <row r="223" spans="9:9" x14ac:dyDescent="0.2">
      <c r="I223" s="3"/>
    </row>
    <row r="224" spans="9:9" x14ac:dyDescent="0.2">
      <c r="I224" s="3"/>
    </row>
    <row r="225" spans="9:9" x14ac:dyDescent="0.2">
      <c r="I225" s="3"/>
    </row>
    <row r="226" spans="9:9" x14ac:dyDescent="0.2">
      <c r="I226" s="3"/>
    </row>
    <row r="227" spans="9:9" x14ac:dyDescent="0.2">
      <c r="I227" s="3"/>
    </row>
    <row r="228" spans="9:9" x14ac:dyDescent="0.2">
      <c r="I228" s="3"/>
    </row>
    <row r="229" spans="9:9" x14ac:dyDescent="0.2">
      <c r="I229" s="3"/>
    </row>
    <row r="230" spans="9:9" x14ac:dyDescent="0.2">
      <c r="I230" s="3"/>
    </row>
    <row r="231" spans="9:9" x14ac:dyDescent="0.2">
      <c r="I231" s="3"/>
    </row>
    <row r="232" spans="9:9" x14ac:dyDescent="0.2">
      <c r="I232" s="3"/>
    </row>
    <row r="233" spans="9:9" x14ac:dyDescent="0.2">
      <c r="I233" s="3"/>
    </row>
    <row r="234" spans="9:9" x14ac:dyDescent="0.2">
      <c r="I234" s="3"/>
    </row>
    <row r="235" spans="9:9" x14ac:dyDescent="0.2">
      <c r="I235" s="3"/>
    </row>
    <row r="236" spans="9:9" x14ac:dyDescent="0.2">
      <c r="I236" s="3"/>
    </row>
    <row r="237" spans="9:9" x14ac:dyDescent="0.2">
      <c r="I237" s="3"/>
    </row>
    <row r="238" spans="9:9" x14ac:dyDescent="0.2">
      <c r="I238" s="3"/>
    </row>
    <row r="239" spans="9:9" x14ac:dyDescent="0.2">
      <c r="I239" s="3"/>
    </row>
    <row r="240" spans="9:9" x14ac:dyDescent="0.2">
      <c r="I240" s="3"/>
    </row>
    <row r="241" spans="9:9" x14ac:dyDescent="0.2">
      <c r="I241" s="3"/>
    </row>
    <row r="242" spans="9:9" x14ac:dyDescent="0.2">
      <c r="I242" s="3"/>
    </row>
    <row r="243" spans="9:9" x14ac:dyDescent="0.2">
      <c r="I243" s="3"/>
    </row>
    <row r="244" spans="9:9" x14ac:dyDescent="0.2">
      <c r="I244" s="3"/>
    </row>
    <row r="245" spans="9:9" x14ac:dyDescent="0.2">
      <c r="I245" s="3"/>
    </row>
    <row r="246" spans="9:9" x14ac:dyDescent="0.2">
      <c r="I246" s="3"/>
    </row>
    <row r="247" spans="9:9" x14ac:dyDescent="0.2">
      <c r="I247" s="3"/>
    </row>
    <row r="248" spans="9:9" x14ac:dyDescent="0.2">
      <c r="I248" s="3"/>
    </row>
    <row r="249" spans="9:9" x14ac:dyDescent="0.2">
      <c r="I249" s="3"/>
    </row>
    <row r="250" spans="9:9" x14ac:dyDescent="0.2">
      <c r="I250" s="3"/>
    </row>
    <row r="251" spans="9:9" x14ac:dyDescent="0.2">
      <c r="I251" s="3"/>
    </row>
    <row r="252" spans="9:9" x14ac:dyDescent="0.2">
      <c r="I252" s="3"/>
    </row>
    <row r="253" spans="9:9" x14ac:dyDescent="0.2">
      <c r="I253" s="3"/>
    </row>
    <row r="254" spans="9:9" x14ac:dyDescent="0.2">
      <c r="I254" s="3"/>
    </row>
    <row r="255" spans="9:9" x14ac:dyDescent="0.2">
      <c r="I255" s="3"/>
    </row>
    <row r="256" spans="9:9" x14ac:dyDescent="0.2">
      <c r="I256" s="3"/>
    </row>
    <row r="257" spans="9:9" x14ac:dyDescent="0.2">
      <c r="I257" s="3"/>
    </row>
    <row r="258" spans="9:9" x14ac:dyDescent="0.2">
      <c r="I258" s="3"/>
    </row>
    <row r="259" spans="9:9" x14ac:dyDescent="0.2">
      <c r="I259" s="3"/>
    </row>
    <row r="260" spans="9:9" x14ac:dyDescent="0.2">
      <c r="I260" s="3"/>
    </row>
    <row r="261" spans="9:9" x14ac:dyDescent="0.2">
      <c r="I261" s="3"/>
    </row>
    <row r="262" spans="9:9" x14ac:dyDescent="0.2">
      <c r="I262" s="3"/>
    </row>
    <row r="263" spans="9:9" x14ac:dyDescent="0.2">
      <c r="I263" s="3"/>
    </row>
    <row r="264" spans="9:9" x14ac:dyDescent="0.2">
      <c r="I264" s="3"/>
    </row>
    <row r="265" spans="9:9" x14ac:dyDescent="0.2">
      <c r="I265" s="3"/>
    </row>
    <row r="266" spans="9:9" x14ac:dyDescent="0.2">
      <c r="I266" s="3"/>
    </row>
    <row r="267" spans="9:9" x14ac:dyDescent="0.2">
      <c r="I267" s="3"/>
    </row>
    <row r="268" spans="9:9" x14ac:dyDescent="0.2">
      <c r="I268" s="3"/>
    </row>
    <row r="269" spans="9:9" x14ac:dyDescent="0.2">
      <c r="I269" s="3"/>
    </row>
    <row r="270" spans="9:9" x14ac:dyDescent="0.2">
      <c r="I270" s="3"/>
    </row>
    <row r="271" spans="9:9" x14ac:dyDescent="0.2">
      <c r="I271" s="3"/>
    </row>
    <row r="272" spans="9:9" x14ac:dyDescent="0.2">
      <c r="I272" s="3"/>
    </row>
    <row r="273" spans="9:9" x14ac:dyDescent="0.2">
      <c r="I273" s="3"/>
    </row>
    <row r="274" spans="9:9" x14ac:dyDescent="0.2">
      <c r="I274" s="3"/>
    </row>
    <row r="275" spans="9:9" x14ac:dyDescent="0.2">
      <c r="I275" s="3"/>
    </row>
    <row r="276" spans="9:9" x14ac:dyDescent="0.2">
      <c r="I276" s="3"/>
    </row>
    <row r="277" spans="9:9" x14ac:dyDescent="0.2">
      <c r="I277" s="3"/>
    </row>
    <row r="278" spans="9:9" x14ac:dyDescent="0.2">
      <c r="I278" s="3"/>
    </row>
    <row r="279" spans="9:9" x14ac:dyDescent="0.2">
      <c r="I279" s="3"/>
    </row>
    <row r="280" spans="9:9" x14ac:dyDescent="0.2">
      <c r="I280" s="3"/>
    </row>
    <row r="281" spans="9:9" x14ac:dyDescent="0.2">
      <c r="I281" s="3"/>
    </row>
    <row r="282" spans="9:9" x14ac:dyDescent="0.2">
      <c r="I282" s="3"/>
    </row>
    <row r="283" spans="9:9" x14ac:dyDescent="0.2">
      <c r="I283" s="3"/>
    </row>
    <row r="284" spans="9:9" x14ac:dyDescent="0.2">
      <c r="I284" s="3"/>
    </row>
    <row r="285" spans="9:9" x14ac:dyDescent="0.2">
      <c r="I285" s="3"/>
    </row>
    <row r="286" spans="9:9" x14ac:dyDescent="0.2">
      <c r="I286" s="3"/>
    </row>
    <row r="287" spans="9:9" x14ac:dyDescent="0.2">
      <c r="I287" s="3"/>
    </row>
    <row r="288" spans="9:9" x14ac:dyDescent="0.2">
      <c r="I288" s="3"/>
    </row>
    <row r="289" spans="9:9" x14ac:dyDescent="0.2">
      <c r="I289" s="3"/>
    </row>
    <row r="290" spans="9:9" x14ac:dyDescent="0.2">
      <c r="I290" s="3"/>
    </row>
    <row r="291" spans="9:9" x14ac:dyDescent="0.2">
      <c r="I291" s="3"/>
    </row>
    <row r="292" spans="9:9" x14ac:dyDescent="0.2">
      <c r="I292" s="3"/>
    </row>
    <row r="293" spans="9:9" x14ac:dyDescent="0.2">
      <c r="I293" s="3"/>
    </row>
    <row r="294" spans="9:9" x14ac:dyDescent="0.2">
      <c r="I294" s="3"/>
    </row>
    <row r="295" spans="9:9" x14ac:dyDescent="0.2">
      <c r="I295" s="3"/>
    </row>
    <row r="296" spans="9:9" x14ac:dyDescent="0.2">
      <c r="I296" s="3"/>
    </row>
    <row r="297" spans="9:9" x14ac:dyDescent="0.2">
      <c r="I297" s="3"/>
    </row>
    <row r="298" spans="9:9" x14ac:dyDescent="0.2">
      <c r="I298" s="3"/>
    </row>
    <row r="299" spans="9:9" x14ac:dyDescent="0.2">
      <c r="I299" s="3"/>
    </row>
    <row r="300" spans="9:9" x14ac:dyDescent="0.2">
      <c r="I300" s="3"/>
    </row>
    <row r="301" spans="9:9" x14ac:dyDescent="0.2">
      <c r="I301" s="3"/>
    </row>
    <row r="302" spans="9:9" x14ac:dyDescent="0.2">
      <c r="I302" s="3"/>
    </row>
    <row r="303" spans="9:9" x14ac:dyDescent="0.2">
      <c r="I303" s="3"/>
    </row>
    <row r="304" spans="9:9" x14ac:dyDescent="0.2">
      <c r="I304" s="3"/>
    </row>
    <row r="305" spans="9:9" x14ac:dyDescent="0.2">
      <c r="I305" s="3"/>
    </row>
    <row r="306" spans="9:9" x14ac:dyDescent="0.2">
      <c r="I306" s="3"/>
    </row>
    <row r="307" spans="9:9" x14ac:dyDescent="0.2">
      <c r="I307" s="3"/>
    </row>
    <row r="308" spans="9:9" x14ac:dyDescent="0.2">
      <c r="I308" s="3"/>
    </row>
    <row r="309" spans="9:9" x14ac:dyDescent="0.2">
      <c r="I309" s="3"/>
    </row>
    <row r="310" spans="9:9" x14ac:dyDescent="0.2">
      <c r="I310" s="3"/>
    </row>
    <row r="311" spans="9:9" x14ac:dyDescent="0.2">
      <c r="I311" s="3"/>
    </row>
    <row r="312" spans="9:9" x14ac:dyDescent="0.2">
      <c r="I312" s="3"/>
    </row>
    <row r="313" spans="9:9" x14ac:dyDescent="0.2">
      <c r="I313" s="3"/>
    </row>
    <row r="314" spans="9:9" x14ac:dyDescent="0.2">
      <c r="I314" s="3"/>
    </row>
    <row r="315" spans="9:9" x14ac:dyDescent="0.2">
      <c r="I315" s="3"/>
    </row>
    <row r="316" spans="9:9" x14ac:dyDescent="0.2">
      <c r="I316" s="3"/>
    </row>
    <row r="317" spans="9:9" x14ac:dyDescent="0.2">
      <c r="I317" s="3"/>
    </row>
    <row r="318" spans="9:9" x14ac:dyDescent="0.2">
      <c r="I318" s="3"/>
    </row>
    <row r="319" spans="9:9" x14ac:dyDescent="0.2">
      <c r="I319" s="3"/>
    </row>
    <row r="320" spans="9:9" x14ac:dyDescent="0.2">
      <c r="I320" s="3"/>
    </row>
    <row r="321" spans="9:9" x14ac:dyDescent="0.2">
      <c r="I321" s="3"/>
    </row>
    <row r="322" spans="9:9" x14ac:dyDescent="0.2">
      <c r="I322" s="3"/>
    </row>
    <row r="323" spans="9:9" x14ac:dyDescent="0.2">
      <c r="I323" s="3"/>
    </row>
    <row r="324" spans="9:9" x14ac:dyDescent="0.2">
      <c r="I324" s="3"/>
    </row>
    <row r="325" spans="9:9" x14ac:dyDescent="0.2">
      <c r="I325" s="3"/>
    </row>
    <row r="326" spans="9:9" x14ac:dyDescent="0.2">
      <c r="I326" s="3"/>
    </row>
    <row r="327" spans="9:9" x14ac:dyDescent="0.2">
      <c r="I327" s="3"/>
    </row>
    <row r="328" spans="9:9" x14ac:dyDescent="0.2">
      <c r="I328" s="3"/>
    </row>
    <row r="329" spans="9:9" x14ac:dyDescent="0.2">
      <c r="I329" s="3"/>
    </row>
    <row r="330" spans="9:9" x14ac:dyDescent="0.2">
      <c r="I330" s="3"/>
    </row>
    <row r="331" spans="9:9" x14ac:dyDescent="0.2">
      <c r="I331" s="3"/>
    </row>
    <row r="332" spans="9:9" x14ac:dyDescent="0.2">
      <c r="I332" s="3"/>
    </row>
    <row r="333" spans="9:9" x14ac:dyDescent="0.2">
      <c r="I333" s="3"/>
    </row>
    <row r="334" spans="9:9" x14ac:dyDescent="0.2">
      <c r="I334" s="3"/>
    </row>
    <row r="335" spans="9:9" x14ac:dyDescent="0.2">
      <c r="I335" s="3"/>
    </row>
    <row r="336" spans="9:9" x14ac:dyDescent="0.2">
      <c r="I336" s="3"/>
    </row>
    <row r="337" spans="9:9" x14ac:dyDescent="0.2">
      <c r="I337" s="3"/>
    </row>
    <row r="338" spans="9:9" x14ac:dyDescent="0.2">
      <c r="I338" s="3"/>
    </row>
    <row r="339" spans="9:9" x14ac:dyDescent="0.2">
      <c r="I339" s="3"/>
    </row>
    <row r="340" spans="9:9" x14ac:dyDescent="0.2">
      <c r="I340" s="3"/>
    </row>
    <row r="341" spans="9:9" x14ac:dyDescent="0.2">
      <c r="I341" s="3"/>
    </row>
    <row r="342" spans="9:9" x14ac:dyDescent="0.2">
      <c r="I342" s="3"/>
    </row>
    <row r="343" spans="9:9" x14ac:dyDescent="0.2">
      <c r="I343" s="3"/>
    </row>
    <row r="344" spans="9:9" x14ac:dyDescent="0.2">
      <c r="I344" s="3"/>
    </row>
    <row r="345" spans="9:9" x14ac:dyDescent="0.2">
      <c r="I345" s="3"/>
    </row>
    <row r="346" spans="9:9" x14ac:dyDescent="0.2">
      <c r="I346" s="3"/>
    </row>
    <row r="347" spans="9:9" x14ac:dyDescent="0.2">
      <c r="I347" s="3"/>
    </row>
    <row r="348" spans="9:9" x14ac:dyDescent="0.2">
      <c r="I348" s="3"/>
    </row>
    <row r="349" spans="9:9" x14ac:dyDescent="0.2">
      <c r="I349" s="3"/>
    </row>
    <row r="350" spans="9:9" x14ac:dyDescent="0.2">
      <c r="I350" s="3"/>
    </row>
    <row r="351" spans="9:9" x14ac:dyDescent="0.2">
      <c r="I351" s="3"/>
    </row>
    <row r="352" spans="9:9" x14ac:dyDescent="0.2">
      <c r="I352" s="3"/>
    </row>
    <row r="353" spans="9:9" x14ac:dyDescent="0.2">
      <c r="I353" s="3"/>
    </row>
    <row r="354" spans="9:9" x14ac:dyDescent="0.2">
      <c r="I354" s="3"/>
    </row>
    <row r="355" spans="9:9" x14ac:dyDescent="0.2">
      <c r="I355" s="3"/>
    </row>
    <row r="356" spans="9:9" x14ac:dyDescent="0.2">
      <c r="I356" s="3"/>
    </row>
    <row r="357" spans="9:9" x14ac:dyDescent="0.2">
      <c r="I357" s="3"/>
    </row>
    <row r="358" spans="9:9" x14ac:dyDescent="0.2">
      <c r="I358" s="3"/>
    </row>
    <row r="359" spans="9:9" x14ac:dyDescent="0.2">
      <c r="I359" s="3"/>
    </row>
    <row r="360" spans="9:9" x14ac:dyDescent="0.2">
      <c r="I360" s="3"/>
    </row>
    <row r="361" spans="9:9" x14ac:dyDescent="0.2">
      <c r="I361" s="3"/>
    </row>
    <row r="362" spans="9:9" x14ac:dyDescent="0.2">
      <c r="I362" s="3"/>
    </row>
    <row r="363" spans="9:9" x14ac:dyDescent="0.2">
      <c r="I363" s="3"/>
    </row>
    <row r="364" spans="9:9" x14ac:dyDescent="0.2">
      <c r="I364" s="3"/>
    </row>
    <row r="365" spans="9:9" x14ac:dyDescent="0.2">
      <c r="I365" s="3"/>
    </row>
    <row r="366" spans="9:9" x14ac:dyDescent="0.2">
      <c r="I366" s="3"/>
    </row>
    <row r="367" spans="9:9" x14ac:dyDescent="0.2">
      <c r="I367" s="3"/>
    </row>
    <row r="368" spans="9:9" x14ac:dyDescent="0.2">
      <c r="I368" s="3"/>
    </row>
    <row r="369" spans="9:9" x14ac:dyDescent="0.2">
      <c r="I369" s="3"/>
    </row>
    <row r="370" spans="9:9" x14ac:dyDescent="0.2">
      <c r="I370" s="3"/>
    </row>
    <row r="371" spans="9:9" x14ac:dyDescent="0.2">
      <c r="I371" s="3"/>
    </row>
    <row r="372" spans="9:9" x14ac:dyDescent="0.2">
      <c r="I372" s="3"/>
    </row>
    <row r="373" spans="9:9" x14ac:dyDescent="0.2">
      <c r="I373" s="3"/>
    </row>
    <row r="374" spans="9:9" x14ac:dyDescent="0.2">
      <c r="I374" s="3"/>
    </row>
    <row r="375" spans="9:9" x14ac:dyDescent="0.2">
      <c r="I375" s="3"/>
    </row>
    <row r="376" spans="9:9" x14ac:dyDescent="0.2">
      <c r="I376" s="3"/>
    </row>
    <row r="377" spans="9:9" x14ac:dyDescent="0.2">
      <c r="I377" s="3"/>
    </row>
    <row r="378" spans="9:9" x14ac:dyDescent="0.2">
      <c r="I378" s="3"/>
    </row>
    <row r="379" spans="9:9" x14ac:dyDescent="0.2">
      <c r="I379" s="3"/>
    </row>
    <row r="380" spans="9:9" x14ac:dyDescent="0.2">
      <c r="I380" s="3"/>
    </row>
    <row r="381" spans="9:9" x14ac:dyDescent="0.2">
      <c r="I381" s="3"/>
    </row>
    <row r="382" spans="9:9" x14ac:dyDescent="0.2">
      <c r="I382" s="3"/>
    </row>
    <row r="383" spans="9:9" x14ac:dyDescent="0.2">
      <c r="I383" s="3"/>
    </row>
    <row r="384" spans="9:9" x14ac:dyDescent="0.2">
      <c r="I384" s="3"/>
    </row>
    <row r="385" spans="9:9" x14ac:dyDescent="0.2">
      <c r="I385" s="3"/>
    </row>
    <row r="386" spans="9:9" x14ac:dyDescent="0.2">
      <c r="I386" s="3"/>
    </row>
    <row r="387" spans="9:9" x14ac:dyDescent="0.2">
      <c r="I387" s="3"/>
    </row>
    <row r="388" spans="9:9" x14ac:dyDescent="0.2">
      <c r="I388" s="3"/>
    </row>
    <row r="389" spans="9:9" x14ac:dyDescent="0.2">
      <c r="I389" s="3"/>
    </row>
    <row r="390" spans="9:9" x14ac:dyDescent="0.2">
      <c r="I390" s="3"/>
    </row>
    <row r="391" spans="9:9" x14ac:dyDescent="0.2">
      <c r="I391" s="3"/>
    </row>
    <row r="392" spans="9:9" x14ac:dyDescent="0.2">
      <c r="I392" s="3"/>
    </row>
    <row r="393" spans="9:9" x14ac:dyDescent="0.2">
      <c r="I393" s="3"/>
    </row>
    <row r="394" spans="9:9" x14ac:dyDescent="0.2">
      <c r="I394" s="3"/>
    </row>
    <row r="395" spans="9:9" x14ac:dyDescent="0.2">
      <c r="I395" s="3"/>
    </row>
    <row r="396" spans="9:9" x14ac:dyDescent="0.2">
      <c r="I396" s="3"/>
    </row>
    <row r="397" spans="9:9" x14ac:dyDescent="0.2">
      <c r="I397" s="3"/>
    </row>
    <row r="398" spans="9:9" x14ac:dyDescent="0.2">
      <c r="I398" s="3"/>
    </row>
    <row r="399" spans="9:9" x14ac:dyDescent="0.2">
      <c r="I399" s="3"/>
    </row>
    <row r="400" spans="9:9" x14ac:dyDescent="0.2">
      <c r="I400" s="3"/>
    </row>
    <row r="401" spans="9:9" x14ac:dyDescent="0.2">
      <c r="I401" s="3"/>
    </row>
    <row r="402" spans="9:9" x14ac:dyDescent="0.2">
      <c r="I402" s="3"/>
    </row>
    <row r="403" spans="9:9" x14ac:dyDescent="0.2">
      <c r="I403" s="3"/>
    </row>
    <row r="404" spans="9:9" x14ac:dyDescent="0.2">
      <c r="I404" s="3"/>
    </row>
    <row r="405" spans="9:9" x14ac:dyDescent="0.2">
      <c r="I405" s="3"/>
    </row>
    <row r="406" spans="9:9" x14ac:dyDescent="0.2">
      <c r="I406" s="3"/>
    </row>
    <row r="407" spans="9:9" x14ac:dyDescent="0.2">
      <c r="I407" s="3"/>
    </row>
    <row r="408" spans="9:9" x14ac:dyDescent="0.2">
      <c r="I408" s="3"/>
    </row>
    <row r="409" spans="9:9" x14ac:dyDescent="0.2">
      <c r="I409" s="3"/>
    </row>
    <row r="410" spans="9:9" x14ac:dyDescent="0.2">
      <c r="I410" s="3"/>
    </row>
    <row r="411" spans="9:9" x14ac:dyDescent="0.2">
      <c r="I411" s="3"/>
    </row>
    <row r="412" spans="9:9" x14ac:dyDescent="0.2">
      <c r="I412" s="3"/>
    </row>
    <row r="413" spans="9:9" x14ac:dyDescent="0.2">
      <c r="I413" s="3"/>
    </row>
    <row r="414" spans="9:9" x14ac:dyDescent="0.2">
      <c r="I414" s="3"/>
    </row>
    <row r="415" spans="9:9" x14ac:dyDescent="0.2">
      <c r="I415" s="3"/>
    </row>
    <row r="416" spans="9:9" x14ac:dyDescent="0.2">
      <c r="I416" s="3"/>
    </row>
    <row r="417" spans="9:9" x14ac:dyDescent="0.2">
      <c r="I417" s="3"/>
    </row>
    <row r="418" spans="9:9" x14ac:dyDescent="0.2">
      <c r="I418" s="3"/>
    </row>
    <row r="419" spans="9:9" x14ac:dyDescent="0.2">
      <c r="I419" s="3"/>
    </row>
    <row r="420" spans="9:9" x14ac:dyDescent="0.2">
      <c r="I420" s="3"/>
    </row>
    <row r="421" spans="9:9" x14ac:dyDescent="0.2">
      <c r="I421" s="3"/>
    </row>
    <row r="422" spans="9:9" x14ac:dyDescent="0.2">
      <c r="I422" s="3"/>
    </row>
    <row r="423" spans="9:9" x14ac:dyDescent="0.2">
      <c r="I423" s="3"/>
    </row>
    <row r="424" spans="9:9" x14ac:dyDescent="0.2">
      <c r="I424" s="3"/>
    </row>
    <row r="425" spans="9:9" x14ac:dyDescent="0.2">
      <c r="I425" s="3"/>
    </row>
    <row r="426" spans="9:9" x14ac:dyDescent="0.2">
      <c r="I426" s="3"/>
    </row>
    <row r="427" spans="9:9" x14ac:dyDescent="0.2">
      <c r="I427" s="3"/>
    </row>
    <row r="428" spans="9:9" x14ac:dyDescent="0.2">
      <c r="I428" s="3"/>
    </row>
    <row r="429" spans="9:9" x14ac:dyDescent="0.2">
      <c r="I429" s="3"/>
    </row>
    <row r="430" spans="9:9" x14ac:dyDescent="0.2">
      <c r="I430" s="3"/>
    </row>
    <row r="431" spans="9:9" x14ac:dyDescent="0.2">
      <c r="I431" s="3"/>
    </row>
    <row r="432" spans="9:9" x14ac:dyDescent="0.2">
      <c r="I432" s="3"/>
    </row>
    <row r="433" spans="9:9" x14ac:dyDescent="0.2">
      <c r="I433" s="3"/>
    </row>
    <row r="434" spans="9:9" x14ac:dyDescent="0.2">
      <c r="I434" s="3"/>
    </row>
    <row r="435" spans="9:9" x14ac:dyDescent="0.2">
      <c r="I435" s="3"/>
    </row>
    <row r="436" spans="9:9" x14ac:dyDescent="0.2">
      <c r="I436" s="3"/>
    </row>
    <row r="437" spans="9:9" x14ac:dyDescent="0.2">
      <c r="I437" s="3"/>
    </row>
    <row r="438" spans="9:9" x14ac:dyDescent="0.2">
      <c r="I438" s="3"/>
    </row>
    <row r="439" spans="9:9" x14ac:dyDescent="0.2">
      <c r="I439" s="3"/>
    </row>
    <row r="440" spans="9:9" x14ac:dyDescent="0.2">
      <c r="I440" s="3"/>
    </row>
    <row r="441" spans="9:9" x14ac:dyDescent="0.2">
      <c r="I441" s="3"/>
    </row>
    <row r="442" spans="9:9" x14ac:dyDescent="0.2">
      <c r="I442" s="3"/>
    </row>
    <row r="443" spans="9:9" x14ac:dyDescent="0.2">
      <c r="I443" s="3"/>
    </row>
    <row r="444" spans="9:9" x14ac:dyDescent="0.2">
      <c r="I444" s="3"/>
    </row>
    <row r="445" spans="9:9" x14ac:dyDescent="0.2">
      <c r="I445" s="3"/>
    </row>
    <row r="446" spans="9:9" x14ac:dyDescent="0.2">
      <c r="I446" s="3"/>
    </row>
    <row r="447" spans="9:9" x14ac:dyDescent="0.2">
      <c r="I447" s="3"/>
    </row>
    <row r="448" spans="9:9" x14ac:dyDescent="0.2">
      <c r="I448" s="3"/>
    </row>
    <row r="449" spans="9:9" x14ac:dyDescent="0.2">
      <c r="I449" s="3"/>
    </row>
    <row r="450" spans="9:9" x14ac:dyDescent="0.2">
      <c r="I450" s="3"/>
    </row>
    <row r="451" spans="9:9" x14ac:dyDescent="0.2">
      <c r="I451" s="3"/>
    </row>
    <row r="452" spans="9:9" x14ac:dyDescent="0.2">
      <c r="I452" s="3"/>
    </row>
    <row r="453" spans="9:9" x14ac:dyDescent="0.2">
      <c r="I453" s="3"/>
    </row>
    <row r="454" spans="9:9" x14ac:dyDescent="0.2">
      <c r="I454" s="3"/>
    </row>
    <row r="455" spans="9:9" x14ac:dyDescent="0.2">
      <c r="I455" s="3"/>
    </row>
    <row r="456" spans="9:9" x14ac:dyDescent="0.2">
      <c r="I456" s="3"/>
    </row>
    <row r="457" spans="9:9" x14ac:dyDescent="0.2">
      <c r="I457" s="3"/>
    </row>
    <row r="458" spans="9:9" x14ac:dyDescent="0.2">
      <c r="I458" s="3"/>
    </row>
    <row r="459" spans="9:9" x14ac:dyDescent="0.2">
      <c r="I459" s="3"/>
    </row>
    <row r="460" spans="9:9" x14ac:dyDescent="0.2">
      <c r="I460" s="3"/>
    </row>
    <row r="461" spans="9:9" x14ac:dyDescent="0.2">
      <c r="I461" s="3"/>
    </row>
    <row r="462" spans="9:9" x14ac:dyDescent="0.2">
      <c r="I462" s="3"/>
    </row>
    <row r="463" spans="9:9" x14ac:dyDescent="0.2">
      <c r="I463" s="3"/>
    </row>
    <row r="464" spans="9:9" x14ac:dyDescent="0.2">
      <c r="I464" s="3"/>
    </row>
    <row r="465" spans="9:9" x14ac:dyDescent="0.2">
      <c r="I465" s="3"/>
    </row>
    <row r="466" spans="9:9" x14ac:dyDescent="0.2">
      <c r="I466" s="3"/>
    </row>
    <row r="467" spans="9:9" x14ac:dyDescent="0.2">
      <c r="I467" s="3"/>
    </row>
    <row r="468" spans="9:9" x14ac:dyDescent="0.2">
      <c r="I468" s="3"/>
    </row>
    <row r="469" spans="9:9" x14ac:dyDescent="0.2">
      <c r="I469" s="3"/>
    </row>
    <row r="470" spans="9:9" x14ac:dyDescent="0.2">
      <c r="I470" s="3"/>
    </row>
    <row r="471" spans="9:9" x14ac:dyDescent="0.2">
      <c r="I471" s="3"/>
    </row>
    <row r="472" spans="9:9" x14ac:dyDescent="0.2">
      <c r="I472" s="3"/>
    </row>
    <row r="473" spans="9:9" x14ac:dyDescent="0.2">
      <c r="I473" s="3"/>
    </row>
    <row r="474" spans="9:9" x14ac:dyDescent="0.2">
      <c r="I474" s="3"/>
    </row>
    <row r="475" spans="9:9" x14ac:dyDescent="0.2">
      <c r="I475" s="3"/>
    </row>
    <row r="476" spans="9:9" x14ac:dyDescent="0.2">
      <c r="I476" s="3"/>
    </row>
    <row r="477" spans="9:9" x14ac:dyDescent="0.2">
      <c r="I477" s="3"/>
    </row>
    <row r="478" spans="9:9" x14ac:dyDescent="0.2">
      <c r="I478" s="3"/>
    </row>
    <row r="479" spans="9:9" x14ac:dyDescent="0.2">
      <c r="I479" s="3"/>
    </row>
    <row r="480" spans="9:9" x14ac:dyDescent="0.2">
      <c r="I480" s="3"/>
    </row>
    <row r="481" spans="9:9" x14ac:dyDescent="0.2">
      <c r="I481" s="3"/>
    </row>
    <row r="482" spans="9:9" x14ac:dyDescent="0.2">
      <c r="I482" s="3"/>
    </row>
    <row r="483" spans="9:9" x14ac:dyDescent="0.2">
      <c r="I483" s="3"/>
    </row>
    <row r="484" spans="9:9" x14ac:dyDescent="0.2">
      <c r="I484" s="3"/>
    </row>
    <row r="485" spans="9:9" x14ac:dyDescent="0.2">
      <c r="I485" s="3"/>
    </row>
    <row r="486" spans="9:9" x14ac:dyDescent="0.2">
      <c r="I486" s="3"/>
    </row>
    <row r="487" spans="9:9" x14ac:dyDescent="0.2">
      <c r="I487" s="3"/>
    </row>
    <row r="488" spans="9:9" x14ac:dyDescent="0.2">
      <c r="I488" s="3"/>
    </row>
    <row r="489" spans="9:9" x14ac:dyDescent="0.2">
      <c r="I489" s="3"/>
    </row>
    <row r="490" spans="9:9" x14ac:dyDescent="0.2">
      <c r="I490" s="3"/>
    </row>
    <row r="491" spans="9:9" x14ac:dyDescent="0.2">
      <c r="I491" s="3"/>
    </row>
    <row r="492" spans="9:9" x14ac:dyDescent="0.2">
      <c r="I492" s="3"/>
    </row>
    <row r="493" spans="9:9" x14ac:dyDescent="0.2">
      <c r="I493" s="3"/>
    </row>
    <row r="494" spans="9:9" x14ac:dyDescent="0.2">
      <c r="I494" s="3"/>
    </row>
    <row r="495" spans="9:9" x14ac:dyDescent="0.2">
      <c r="I495" s="3"/>
    </row>
    <row r="496" spans="9:9" x14ac:dyDescent="0.2">
      <c r="I496" s="3"/>
    </row>
    <row r="497" spans="9:9" x14ac:dyDescent="0.2">
      <c r="I497" s="3"/>
    </row>
    <row r="498" spans="9:9" x14ac:dyDescent="0.2">
      <c r="I498" s="3"/>
    </row>
    <row r="499" spans="9:9" x14ac:dyDescent="0.2">
      <c r="I499" s="3"/>
    </row>
    <row r="500" spans="9:9" x14ac:dyDescent="0.2">
      <c r="I500" s="3"/>
    </row>
    <row r="501" spans="9:9" x14ac:dyDescent="0.2">
      <c r="I501" s="3"/>
    </row>
    <row r="502" spans="9:9" x14ac:dyDescent="0.2">
      <c r="I502" s="3"/>
    </row>
    <row r="503" spans="9:9" x14ac:dyDescent="0.2">
      <c r="I503" s="3"/>
    </row>
    <row r="504" spans="9:9" x14ac:dyDescent="0.2">
      <c r="I504" s="3"/>
    </row>
    <row r="505" spans="9:9" x14ac:dyDescent="0.2">
      <c r="I505" s="3"/>
    </row>
    <row r="506" spans="9:9" x14ac:dyDescent="0.2">
      <c r="I506" s="3"/>
    </row>
    <row r="507" spans="9:9" x14ac:dyDescent="0.2">
      <c r="I507" s="3"/>
    </row>
    <row r="508" spans="9:9" x14ac:dyDescent="0.2">
      <c r="I508" s="3"/>
    </row>
    <row r="509" spans="9:9" x14ac:dyDescent="0.2">
      <c r="I509" s="3"/>
    </row>
    <row r="510" spans="9:9" x14ac:dyDescent="0.2">
      <c r="I510" s="3"/>
    </row>
    <row r="511" spans="9:9" x14ac:dyDescent="0.2">
      <c r="I511" s="3"/>
    </row>
    <row r="512" spans="9:9" x14ac:dyDescent="0.2">
      <c r="I512" s="3"/>
    </row>
    <row r="513" spans="9:9" x14ac:dyDescent="0.2">
      <c r="I513" s="3"/>
    </row>
    <row r="514" spans="9:9" x14ac:dyDescent="0.2">
      <c r="I514" s="3"/>
    </row>
    <row r="515" spans="9:9" x14ac:dyDescent="0.2">
      <c r="I515" s="3"/>
    </row>
    <row r="516" spans="9:9" x14ac:dyDescent="0.2">
      <c r="I516" s="3"/>
    </row>
    <row r="517" spans="9:9" x14ac:dyDescent="0.2">
      <c r="I517" s="3"/>
    </row>
    <row r="518" spans="9:9" x14ac:dyDescent="0.2">
      <c r="I518" s="3"/>
    </row>
    <row r="519" spans="9:9" x14ac:dyDescent="0.2">
      <c r="I519" s="3"/>
    </row>
    <row r="520" spans="9:9" x14ac:dyDescent="0.2">
      <c r="I520" s="3"/>
    </row>
    <row r="521" spans="9:9" x14ac:dyDescent="0.2">
      <c r="I521" s="3"/>
    </row>
    <row r="522" spans="9:9" x14ac:dyDescent="0.2">
      <c r="I522" s="3"/>
    </row>
    <row r="523" spans="9:9" x14ac:dyDescent="0.2">
      <c r="I523" s="3"/>
    </row>
    <row r="524" spans="9:9" x14ac:dyDescent="0.2">
      <c r="I524" s="3"/>
    </row>
    <row r="525" spans="9:9" x14ac:dyDescent="0.2">
      <c r="I525" s="3"/>
    </row>
    <row r="526" spans="9:9" x14ac:dyDescent="0.2">
      <c r="I526" s="3"/>
    </row>
    <row r="527" spans="9:9" x14ac:dyDescent="0.2">
      <c r="I527" s="3"/>
    </row>
    <row r="528" spans="9:9" x14ac:dyDescent="0.2">
      <c r="I528" s="3"/>
    </row>
    <row r="529" spans="9:9" x14ac:dyDescent="0.2">
      <c r="I529" s="3"/>
    </row>
    <row r="530" spans="9:9" x14ac:dyDescent="0.2">
      <c r="I530" s="3"/>
    </row>
    <row r="531" spans="9:9" x14ac:dyDescent="0.2">
      <c r="I531" s="3"/>
    </row>
    <row r="532" spans="9:9" x14ac:dyDescent="0.2">
      <c r="I532" s="3"/>
    </row>
    <row r="533" spans="9:9" x14ac:dyDescent="0.2">
      <c r="I533" s="3"/>
    </row>
    <row r="534" spans="9:9" x14ac:dyDescent="0.2">
      <c r="I534" s="3"/>
    </row>
    <row r="535" spans="9:9" x14ac:dyDescent="0.2">
      <c r="I535" s="3"/>
    </row>
    <row r="536" spans="9:9" x14ac:dyDescent="0.2">
      <c r="I536" s="3"/>
    </row>
    <row r="537" spans="9:9" x14ac:dyDescent="0.2">
      <c r="I537" s="3"/>
    </row>
    <row r="538" spans="9:9" x14ac:dyDescent="0.2">
      <c r="I538" s="3"/>
    </row>
    <row r="539" spans="9:9" x14ac:dyDescent="0.2">
      <c r="I539" s="3"/>
    </row>
    <row r="540" spans="9:9" x14ac:dyDescent="0.2">
      <c r="I540" s="3"/>
    </row>
    <row r="541" spans="9:9" x14ac:dyDescent="0.2">
      <c r="I541" s="3"/>
    </row>
    <row r="542" spans="9:9" x14ac:dyDescent="0.2">
      <c r="I542" s="3"/>
    </row>
    <row r="543" spans="9:9" x14ac:dyDescent="0.2">
      <c r="I543" s="3"/>
    </row>
    <row r="544" spans="9:9" x14ac:dyDescent="0.2">
      <c r="I544" s="3"/>
    </row>
    <row r="545" spans="9:9" x14ac:dyDescent="0.2">
      <c r="I545" s="3"/>
    </row>
    <row r="546" spans="9:9" x14ac:dyDescent="0.2">
      <c r="I546" s="3"/>
    </row>
    <row r="547" spans="9:9" x14ac:dyDescent="0.2">
      <c r="I547" s="3"/>
    </row>
    <row r="548" spans="9:9" x14ac:dyDescent="0.2">
      <c r="I548" s="3"/>
    </row>
    <row r="549" spans="9:9" x14ac:dyDescent="0.2">
      <c r="I549" s="3"/>
    </row>
    <row r="550" spans="9:9" x14ac:dyDescent="0.2">
      <c r="I550" s="3"/>
    </row>
    <row r="551" spans="9:9" x14ac:dyDescent="0.2">
      <c r="I551" s="3"/>
    </row>
  </sheetData>
  <mergeCells count="193">
    <mergeCell ref="B80:E80"/>
    <mergeCell ref="B75:E75"/>
    <mergeCell ref="B76:E76"/>
    <mergeCell ref="B77:E77"/>
    <mergeCell ref="B78:E78"/>
    <mergeCell ref="B79:E79"/>
    <mergeCell ref="B70:E70"/>
    <mergeCell ref="B71:E71"/>
    <mergeCell ref="B72:E72"/>
    <mergeCell ref="B73:E73"/>
    <mergeCell ref="B74:E74"/>
    <mergeCell ref="B51:E51"/>
    <mergeCell ref="B52:E52"/>
    <mergeCell ref="B53:E53"/>
    <mergeCell ref="B54:E54"/>
    <mergeCell ref="B65:E65"/>
    <mergeCell ref="B66:E66"/>
    <mergeCell ref="B67:E67"/>
    <mergeCell ref="B68:E68"/>
    <mergeCell ref="B69:E69"/>
    <mergeCell ref="B60:E60"/>
    <mergeCell ref="B61:E61"/>
    <mergeCell ref="B62:E62"/>
    <mergeCell ref="B63:E63"/>
    <mergeCell ref="B64:E64"/>
    <mergeCell ref="B141:E141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136:E136"/>
    <mergeCell ref="B137:E137"/>
    <mergeCell ref="B138:E138"/>
    <mergeCell ref="B35:E35"/>
    <mergeCell ref="B36:E36"/>
    <mergeCell ref="B37:E37"/>
    <mergeCell ref="B38:E38"/>
    <mergeCell ref="B39:E39"/>
    <mergeCell ref="B127:E127"/>
    <mergeCell ref="B128:E128"/>
    <mergeCell ref="B129:E129"/>
    <mergeCell ref="B130:E130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45:E45"/>
    <mergeCell ref="B46:E46"/>
    <mergeCell ref="B47:E47"/>
    <mergeCell ref="B48:E48"/>
    <mergeCell ref="B49:E49"/>
    <mergeCell ref="B40:E40"/>
    <mergeCell ref="B41:E41"/>
    <mergeCell ref="B42:E42"/>
    <mergeCell ref="B43:E43"/>
    <mergeCell ref="B44:E44"/>
    <mergeCell ref="B171:C171"/>
    <mergeCell ref="D170:E170"/>
    <mergeCell ref="D171:E171"/>
    <mergeCell ref="J2:Q2"/>
    <mergeCell ref="J3:Q3"/>
    <mergeCell ref="B93:E93"/>
    <mergeCell ref="B102:E102"/>
    <mergeCell ref="B144:E144"/>
    <mergeCell ref="B145:E145"/>
    <mergeCell ref="J4:Q4"/>
    <mergeCell ref="J5:Q5"/>
    <mergeCell ref="B6:J6"/>
    <mergeCell ref="B106:E106"/>
    <mergeCell ref="B107:E107"/>
    <mergeCell ref="B81:E81"/>
    <mergeCell ref="B82:E82"/>
    <mergeCell ref="B109:E109"/>
    <mergeCell ref="B110:E110"/>
    <mergeCell ref="B94:E94"/>
    <mergeCell ref="B99:E99"/>
    <mergeCell ref="B100:E100"/>
    <mergeCell ref="B121:E121"/>
    <mergeCell ref="B122:E122"/>
    <mergeCell ref="B123:E123"/>
    <mergeCell ref="B146:E146"/>
    <mergeCell ref="B164:E164"/>
    <mergeCell ref="B167:E167"/>
    <mergeCell ref="B166:E166"/>
    <mergeCell ref="B165:E165"/>
    <mergeCell ref="B163:E163"/>
    <mergeCell ref="R2:AA2"/>
    <mergeCell ref="R3:AA3"/>
    <mergeCell ref="B170:C170"/>
    <mergeCell ref="B124:E124"/>
    <mergeCell ref="B125:E125"/>
    <mergeCell ref="B116:E116"/>
    <mergeCell ref="B117:E117"/>
    <mergeCell ref="B118:E118"/>
    <mergeCell ref="B119:E119"/>
    <mergeCell ref="B120:E120"/>
    <mergeCell ref="B139:E139"/>
    <mergeCell ref="B140:E140"/>
    <mergeCell ref="B131:E131"/>
    <mergeCell ref="B132:E132"/>
    <mergeCell ref="B133:E133"/>
    <mergeCell ref="B134:E134"/>
    <mergeCell ref="B135:E135"/>
    <mergeCell ref="B126:E126"/>
    <mergeCell ref="B101:E101"/>
    <mergeCell ref="B97:E97"/>
    <mergeCell ref="B98:E98"/>
    <mergeCell ref="B103:E103"/>
    <mergeCell ref="B161:E161"/>
    <mergeCell ref="B162:E162"/>
    <mergeCell ref="J1:AA1"/>
    <mergeCell ref="J174:L174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R173:AA174"/>
    <mergeCell ref="M174:Q174"/>
    <mergeCell ref="R4:AA5"/>
    <mergeCell ref="A172:E172"/>
    <mergeCell ref="A170:A171"/>
    <mergeCell ref="A174:H174"/>
    <mergeCell ref="A173:F173"/>
    <mergeCell ref="J173:M173"/>
    <mergeCell ref="B83:E83"/>
    <mergeCell ref="B84:E84"/>
    <mergeCell ref="B160:E160"/>
    <mergeCell ref="B112:E112"/>
    <mergeCell ref="B113:E113"/>
    <mergeCell ref="B114:E114"/>
    <mergeCell ref="B158:E158"/>
    <mergeCell ref="B159:E159"/>
    <mergeCell ref="B108:E108"/>
    <mergeCell ref="B115:E115"/>
    <mergeCell ref="B142:E142"/>
    <mergeCell ref="K9:AA172"/>
    <mergeCell ref="N173:Q173"/>
    <mergeCell ref="B111:E111"/>
    <mergeCell ref="B143:E143"/>
    <mergeCell ref="A168:A169"/>
    <mergeCell ref="B168:E169"/>
    <mergeCell ref="B104:E104"/>
    <mergeCell ref="B105:E105"/>
    <mergeCell ref="B95:E95"/>
    <mergeCell ref="B96:E96"/>
    <mergeCell ref="K6:AA8"/>
    <mergeCell ref="A1:I1"/>
    <mergeCell ref="B85:E85"/>
    <mergeCell ref="B86:E86"/>
    <mergeCell ref="B92:E92"/>
    <mergeCell ref="B87:E87"/>
    <mergeCell ref="B88:E88"/>
    <mergeCell ref="B89:E89"/>
    <mergeCell ref="B90:E90"/>
    <mergeCell ref="B91:E91"/>
    <mergeCell ref="B9:E9"/>
    <mergeCell ref="E2:G2"/>
    <mergeCell ref="E3:G3"/>
    <mergeCell ref="B5:G5"/>
    <mergeCell ref="B4:D4"/>
    <mergeCell ref="B8:E8"/>
    <mergeCell ref="B3:D3"/>
    <mergeCell ref="E4:G4"/>
    <mergeCell ref="B55:E55"/>
    <mergeCell ref="B56:E56"/>
    <mergeCell ref="B57:E57"/>
    <mergeCell ref="B58:E58"/>
    <mergeCell ref="B59:E59"/>
    <mergeCell ref="B50:E50"/>
  </mergeCells>
  <hyperlinks>
    <hyperlink ref="J3" r:id="rId1" xr:uid="{00000000-0004-0000-0000-000000000000}"/>
  </hyperlinks>
  <pageMargins left="0.25" right="0.25" top="0.75" bottom="0.75" header="0.3" footer="0.3"/>
  <pageSetup paperSize="9" scale="77" fitToHeight="0" orientation="landscape" horizontalDpi="360" verticalDpi="360" r:id="rId2"/>
  <ignoredErrors>
    <ignoredError sqref="I174" evalError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2F7E-215D-574D-B636-07258246FF4D}">
  <sheetPr>
    <pageSetUpPr fitToPage="1"/>
  </sheetPr>
  <dimension ref="A1:AH455"/>
  <sheetViews>
    <sheetView zoomScale="109" zoomScaleNormal="100" workbookViewId="0">
      <pane ySplit="8" topLeftCell="A9" activePane="bottomLeft" state="frozen"/>
      <selection pane="bottomLeft" activeCell="Y8" sqref="Y8:AA8"/>
    </sheetView>
  </sheetViews>
  <sheetFormatPr baseColWidth="10" defaultColWidth="9.1640625" defaultRowHeight="15" x14ac:dyDescent="0.2"/>
  <cols>
    <col min="1" max="1" width="13.1640625" style="2" customWidth="1"/>
    <col min="2" max="3" width="9.1640625" style="2"/>
    <col min="4" max="5" width="9.1640625" style="2" customWidth="1"/>
    <col min="6" max="7" width="6.5" style="2" customWidth="1"/>
    <col min="8" max="8" width="13.33203125" style="2" bestFit="1" customWidth="1"/>
    <col min="9" max="9" width="17.1640625" style="2" customWidth="1"/>
    <col min="10" max="10" width="9.33203125" style="1" customWidth="1"/>
    <col min="11" max="29" width="4.1640625" style="2" customWidth="1"/>
    <col min="30" max="34" width="9.1640625" style="2"/>
  </cols>
  <sheetData>
    <row r="1" spans="1:34" ht="39" customHeight="1" x14ac:dyDescent="0.2">
      <c r="A1" s="154" t="s">
        <v>46</v>
      </c>
      <c r="B1" s="154"/>
      <c r="C1" s="154"/>
      <c r="D1" s="154"/>
      <c r="E1" s="154"/>
      <c r="F1" s="154"/>
      <c r="G1" s="154"/>
      <c r="H1" s="154"/>
      <c r="I1" s="154"/>
      <c r="J1" s="155" t="s">
        <v>23</v>
      </c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</row>
    <row r="2" spans="1:34" x14ac:dyDescent="0.2">
      <c r="A2" s="17" t="s">
        <v>12</v>
      </c>
      <c r="B2" s="18"/>
      <c r="C2" s="17"/>
      <c r="D2" s="19"/>
      <c r="E2" s="71" t="s">
        <v>7</v>
      </c>
      <c r="F2" s="72"/>
      <c r="G2" s="73"/>
      <c r="H2" s="31" t="s">
        <v>8</v>
      </c>
      <c r="I2" s="29">
        <f>'ALS 10 BAZAR'!I2</f>
        <v>46224</v>
      </c>
      <c r="J2" s="117" t="s">
        <v>29</v>
      </c>
      <c r="K2" s="117"/>
      <c r="L2" s="117"/>
      <c r="M2" s="117"/>
      <c r="N2" s="117"/>
      <c r="O2" s="117"/>
      <c r="P2" s="117"/>
      <c r="Q2" s="117"/>
      <c r="R2" s="114" t="s">
        <v>35</v>
      </c>
      <c r="S2" s="114"/>
      <c r="T2" s="114"/>
      <c r="U2" s="114"/>
      <c r="V2" s="114"/>
      <c r="W2" s="114"/>
      <c r="X2" s="114"/>
      <c r="Y2" s="114"/>
      <c r="Z2" s="114"/>
      <c r="AA2" s="114"/>
    </row>
    <row r="3" spans="1:34" x14ac:dyDescent="0.2">
      <c r="A3" s="13" t="s">
        <v>4</v>
      </c>
      <c r="B3" s="74" t="str">
        <f>'ALS 10 BAZAR'!B3:D3</f>
        <v>CONECTA</v>
      </c>
      <c r="C3" s="75"/>
      <c r="D3" s="76"/>
      <c r="E3" s="74">
        <f>'ALS 10 BAZAR'!E3:G3</f>
        <v>0</v>
      </c>
      <c r="F3" s="75"/>
      <c r="G3" s="76"/>
      <c r="H3" s="32" t="s">
        <v>9</v>
      </c>
      <c r="I3" s="28">
        <f>'ALS 10 BAZAR'!I3</f>
        <v>0</v>
      </c>
      <c r="J3" s="118" t="s">
        <v>44</v>
      </c>
      <c r="K3" s="118"/>
      <c r="L3" s="118"/>
      <c r="M3" s="118"/>
      <c r="N3" s="118"/>
      <c r="O3" s="118"/>
      <c r="P3" s="118"/>
      <c r="Q3" s="118"/>
      <c r="R3" s="115" t="s">
        <v>36</v>
      </c>
      <c r="S3" s="115"/>
      <c r="T3" s="115"/>
      <c r="U3" s="115"/>
      <c r="V3" s="115"/>
      <c r="W3" s="115"/>
      <c r="X3" s="115"/>
      <c r="Y3" s="115"/>
      <c r="Z3" s="115"/>
      <c r="AA3" s="115"/>
    </row>
    <row r="4" spans="1:34" ht="15" customHeight="1" x14ac:dyDescent="0.2">
      <c r="A4" s="13" t="s">
        <v>2</v>
      </c>
      <c r="B4" s="74">
        <f>'ALS 10 BAZAR'!B4:D4</f>
        <v>0</v>
      </c>
      <c r="C4" s="75"/>
      <c r="D4" s="76"/>
      <c r="E4" s="74">
        <f>'ALS 10 BAZAR'!E4:G4</f>
        <v>0</v>
      </c>
      <c r="F4" s="75"/>
      <c r="G4" s="76"/>
      <c r="H4" s="32" t="s">
        <v>11</v>
      </c>
      <c r="I4" s="30">
        <v>0.33</v>
      </c>
      <c r="J4" s="119" t="s">
        <v>21</v>
      </c>
      <c r="K4" s="119"/>
      <c r="L4" s="119"/>
      <c r="M4" s="119"/>
      <c r="N4" s="119"/>
      <c r="O4" s="119"/>
      <c r="P4" s="119"/>
      <c r="Q4" s="119"/>
      <c r="R4" s="109" t="s">
        <v>42</v>
      </c>
      <c r="S4" s="109"/>
      <c r="T4" s="109"/>
      <c r="U4" s="109"/>
      <c r="V4" s="109"/>
      <c r="W4" s="109"/>
      <c r="X4" s="109"/>
      <c r="Y4" s="109"/>
      <c r="Z4" s="109"/>
      <c r="AA4" s="109"/>
    </row>
    <row r="5" spans="1:34" x14ac:dyDescent="0.2">
      <c r="A5" s="13" t="s">
        <v>5</v>
      </c>
      <c r="B5" s="74" t="str">
        <f>'ALS 10 BAZAR'!B5:G5</f>
        <v>BOLETO 30/40/50/60/70/80/90/100/110/120</v>
      </c>
      <c r="C5" s="75"/>
      <c r="D5" s="75"/>
      <c r="E5" s="75"/>
      <c r="F5" s="75"/>
      <c r="G5" s="76"/>
      <c r="H5" s="33" t="s">
        <v>3</v>
      </c>
      <c r="I5" s="34"/>
      <c r="J5" s="120" t="s">
        <v>31</v>
      </c>
      <c r="K5" s="120"/>
      <c r="L5" s="120"/>
      <c r="M5" s="120"/>
      <c r="N5" s="120"/>
      <c r="O5" s="120"/>
      <c r="P5" s="120"/>
      <c r="Q5" s="120"/>
      <c r="R5" s="109"/>
      <c r="S5" s="109"/>
      <c r="T5" s="109"/>
      <c r="U5" s="109"/>
      <c r="V5" s="109"/>
      <c r="W5" s="109"/>
      <c r="X5" s="109"/>
      <c r="Y5" s="109"/>
      <c r="Z5" s="109"/>
      <c r="AA5" s="109"/>
    </row>
    <row r="6" spans="1:34" x14ac:dyDescent="0.2">
      <c r="A6" s="13" t="s">
        <v>6</v>
      </c>
      <c r="B6" s="121" t="s">
        <v>43</v>
      </c>
      <c r="C6" s="121"/>
      <c r="D6" s="121"/>
      <c r="E6" s="121"/>
      <c r="F6" s="121"/>
      <c r="G6" s="121"/>
      <c r="H6" s="121"/>
      <c r="I6" s="121"/>
      <c r="J6" s="121"/>
      <c r="K6" s="58" t="s">
        <v>52</v>
      </c>
      <c r="L6" s="60"/>
      <c r="M6" s="58" t="s">
        <v>26</v>
      </c>
      <c r="N6" s="60"/>
      <c r="O6" s="144" t="s">
        <v>53</v>
      </c>
      <c r="P6" s="145"/>
      <c r="Q6" s="58" t="s">
        <v>54</v>
      </c>
      <c r="R6" s="60"/>
      <c r="S6" s="144" t="s">
        <v>56</v>
      </c>
      <c r="T6" s="145"/>
      <c r="U6" s="144" t="s">
        <v>55</v>
      </c>
      <c r="V6" s="145"/>
      <c r="W6" s="58" t="s">
        <v>50</v>
      </c>
      <c r="X6" s="60"/>
      <c r="Y6" s="144" t="s">
        <v>57</v>
      </c>
      <c r="Z6" s="148"/>
      <c r="AA6" s="145"/>
    </row>
    <row r="7" spans="1:34" s="2" customFormat="1" x14ac:dyDescent="0.2">
      <c r="A7" s="13" t="s">
        <v>24</v>
      </c>
      <c r="B7" s="20" t="s">
        <v>19</v>
      </c>
      <c r="C7" s="21" t="str">
        <f>'ALS 10 BAZAR'!C7</f>
        <v>RETIRA</v>
      </c>
      <c r="D7" s="20" t="s">
        <v>25</v>
      </c>
      <c r="E7" s="22" t="str">
        <f>'ALS 10 BAZAR'!E7</f>
        <v>NÃO</v>
      </c>
      <c r="F7" s="20" t="s">
        <v>26</v>
      </c>
      <c r="G7" s="22" t="str">
        <f>'ALS 10 BAZAR'!G7</f>
        <v>NÃO</v>
      </c>
      <c r="H7" s="20" t="s">
        <v>27</v>
      </c>
      <c r="I7" s="36" t="str">
        <f>'ALS 10 BAZAR'!I7</f>
        <v>SIM</v>
      </c>
      <c r="J7" s="35"/>
      <c r="K7" s="64"/>
      <c r="L7" s="66"/>
      <c r="M7" s="64"/>
      <c r="N7" s="66"/>
      <c r="O7" s="146"/>
      <c r="P7" s="147"/>
      <c r="Q7" s="64"/>
      <c r="R7" s="66"/>
      <c r="S7" s="146"/>
      <c r="T7" s="147"/>
      <c r="U7" s="146"/>
      <c r="V7" s="147"/>
      <c r="W7" s="64"/>
      <c r="X7" s="66"/>
      <c r="Y7" s="146"/>
      <c r="Z7" s="149"/>
      <c r="AA7" s="147"/>
    </row>
    <row r="8" spans="1:34" ht="36" customHeight="1" x14ac:dyDescent="0.2">
      <c r="A8" s="14" t="s">
        <v>20</v>
      </c>
      <c r="B8" s="77" t="s">
        <v>15</v>
      </c>
      <c r="C8" s="78"/>
      <c r="D8" s="78"/>
      <c r="E8" s="79"/>
      <c r="F8" s="25" t="s">
        <v>0</v>
      </c>
      <c r="G8" s="25" t="s">
        <v>1</v>
      </c>
      <c r="H8" s="25" t="s">
        <v>13</v>
      </c>
      <c r="I8" s="26"/>
      <c r="J8" s="27" t="s">
        <v>14</v>
      </c>
      <c r="K8" s="150">
        <v>0.11</v>
      </c>
      <c r="L8" s="151"/>
      <c r="M8" s="122">
        <v>0</v>
      </c>
      <c r="N8" s="123"/>
      <c r="O8" s="122">
        <v>0.03</v>
      </c>
      <c r="P8" s="123"/>
      <c r="Q8" s="152">
        <v>0.26</v>
      </c>
      <c r="R8" s="153"/>
      <c r="S8" s="122">
        <f>SUM(K8:R8)</f>
        <v>0.4</v>
      </c>
      <c r="T8" s="123"/>
      <c r="U8" s="122">
        <v>0.19500000000000001</v>
      </c>
      <c r="V8" s="123"/>
      <c r="W8" s="124">
        <v>12</v>
      </c>
      <c r="X8" s="125"/>
      <c r="Y8" s="126">
        <v>8</v>
      </c>
      <c r="Z8" s="127"/>
      <c r="AA8" s="128"/>
      <c r="AB8" s="24"/>
      <c r="AC8" s="24"/>
      <c r="AD8" s="24"/>
      <c r="AE8" s="23"/>
      <c r="AF8" s="23"/>
      <c r="AG8" s="23"/>
      <c r="AH8" s="23"/>
    </row>
    <row r="9" spans="1:34" x14ac:dyDescent="0.2">
      <c r="A9" s="7">
        <f>'ALS 10 BAZAR'!A9</f>
        <v>652</v>
      </c>
      <c r="B9" s="68" t="str">
        <f>'ALS 10 BAZAR'!B9:E9</f>
        <v>INCENSARIO MOTIVACIONAL</v>
      </c>
      <c r="C9" s="69"/>
      <c r="D9" s="69"/>
      <c r="E9" s="70"/>
      <c r="F9" s="37">
        <f>'ALS 10 BAZAR'!F9</f>
        <v>6</v>
      </c>
      <c r="G9" s="38">
        <f>'ALS 10 BAZAR'!G9</f>
        <v>0</v>
      </c>
      <c r="H9" s="5">
        <f t="shared" ref="H9:H72" si="0">F9*G9</f>
        <v>0</v>
      </c>
      <c r="I9" s="4">
        <f>'ALS 10 BAZAR'!I9</f>
        <v>4.7</v>
      </c>
      <c r="J9" s="8">
        <f>H9*I9</f>
        <v>0</v>
      </c>
      <c r="K9" s="68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70"/>
    </row>
    <row r="10" spans="1:34" x14ac:dyDescent="0.2">
      <c r="A10" s="7">
        <f>'ALS 10 BAZAR'!A81</f>
        <v>1119</v>
      </c>
      <c r="B10" s="68" t="str">
        <f>'ALS 10 BAZAR'!B81:E81</f>
        <v>QUADRO FRASES ENGRACADAS</v>
      </c>
      <c r="C10" s="69"/>
      <c r="D10" s="69"/>
      <c r="E10" s="70"/>
      <c r="F10" s="37">
        <f>'ALS 10 BAZAR'!F81</f>
        <v>6</v>
      </c>
      <c r="G10" s="38">
        <f>'ALS 10 BAZAR'!G81</f>
        <v>0</v>
      </c>
      <c r="H10" s="5">
        <f t="shared" si="0"/>
        <v>0</v>
      </c>
      <c r="I10" s="4">
        <f>'ALS 10 BAZAR'!I81</f>
        <v>5.5</v>
      </c>
      <c r="J10" s="8">
        <f t="shared" ref="J10:J76" si="1">H10*I10</f>
        <v>0</v>
      </c>
      <c r="K10" s="129" t="s">
        <v>60</v>
      </c>
      <c r="L10" s="130"/>
      <c r="M10" s="133" t="s">
        <v>58</v>
      </c>
      <c r="N10" s="134"/>
      <c r="O10" s="137" t="s">
        <v>59</v>
      </c>
      <c r="P10" s="138"/>
      <c r="Q10" s="138"/>
      <c r="R10" s="138"/>
      <c r="S10" s="139"/>
      <c r="T10" s="86"/>
      <c r="U10" s="87"/>
      <c r="V10" s="87"/>
      <c r="W10" s="87"/>
      <c r="X10" s="87"/>
      <c r="Y10" s="87"/>
      <c r="Z10" s="87"/>
      <c r="AA10" s="88"/>
    </row>
    <row r="11" spans="1:34" x14ac:dyDescent="0.2">
      <c r="A11" s="7">
        <f>'ALS 10 BAZAR'!A82</f>
        <v>1148</v>
      </c>
      <c r="B11" s="68" t="str">
        <f>'ALS 10 BAZAR'!B82:E82</f>
        <v>QUADRO DECORATIVO ANIMAIS</v>
      </c>
      <c r="C11" s="69"/>
      <c r="D11" s="69"/>
      <c r="E11" s="70"/>
      <c r="F11" s="37">
        <f>'ALS 10 BAZAR'!F82</f>
        <v>6</v>
      </c>
      <c r="G11" s="38">
        <f>'ALS 10 BAZAR'!G82</f>
        <v>0</v>
      </c>
      <c r="H11" s="5">
        <f t="shared" si="0"/>
        <v>0</v>
      </c>
      <c r="I11" s="4">
        <f>'ALS 10 BAZAR'!I82</f>
        <v>5.5</v>
      </c>
      <c r="J11" s="8">
        <f t="shared" si="1"/>
        <v>0</v>
      </c>
      <c r="K11" s="131"/>
      <c r="L11" s="132"/>
      <c r="M11" s="135"/>
      <c r="N11" s="136"/>
      <c r="O11" s="140"/>
      <c r="P11" s="141"/>
      <c r="Q11" s="141"/>
      <c r="R11" s="141"/>
      <c r="S11" s="142"/>
      <c r="T11" s="89"/>
      <c r="U11" s="90"/>
      <c r="V11" s="90"/>
      <c r="W11" s="90"/>
      <c r="X11" s="90"/>
      <c r="Y11" s="90"/>
      <c r="Z11" s="90"/>
      <c r="AA11" s="91"/>
    </row>
    <row r="12" spans="1:34" x14ac:dyDescent="0.2">
      <c r="A12" s="7">
        <f>'ALS 10 BAZAR'!A83</f>
        <v>1120</v>
      </c>
      <c r="B12" s="68" t="str">
        <f>'ALS 10 BAZAR'!B83:E83</f>
        <v>QUADRO DE ENTRADA</v>
      </c>
      <c r="C12" s="69"/>
      <c r="D12" s="69"/>
      <c r="E12" s="70"/>
      <c r="F12" s="37">
        <f>'ALS 10 BAZAR'!F83</f>
        <v>6</v>
      </c>
      <c r="G12" s="38">
        <f>'ALS 10 BAZAR'!G83</f>
        <v>0</v>
      </c>
      <c r="H12" s="5">
        <f t="shared" si="0"/>
        <v>0</v>
      </c>
      <c r="I12" s="4">
        <f>'ALS 10 BAZAR'!I83</f>
        <v>5.5</v>
      </c>
      <c r="J12" s="8">
        <f t="shared" si="1"/>
        <v>0</v>
      </c>
      <c r="K12" s="143">
        <f>W8*S8</f>
        <v>4.8000000000000007</v>
      </c>
      <c r="L12" s="100"/>
      <c r="M12" s="143">
        <f>Y8*U8</f>
        <v>1.56</v>
      </c>
      <c r="N12" s="100"/>
      <c r="O12" s="143">
        <f>Y8+K12-M12</f>
        <v>11.24</v>
      </c>
      <c r="P12" s="99"/>
      <c r="Q12" s="99"/>
      <c r="R12" s="99"/>
      <c r="S12" s="100"/>
      <c r="T12" s="89"/>
      <c r="U12" s="90"/>
      <c r="V12" s="90"/>
      <c r="W12" s="90"/>
      <c r="X12" s="90"/>
      <c r="Y12" s="90"/>
      <c r="Z12" s="90"/>
      <c r="AA12" s="91"/>
    </row>
    <row r="13" spans="1:34" x14ac:dyDescent="0.2">
      <c r="A13" s="7">
        <f>'ALS 10 BAZAR'!A84</f>
        <v>0</v>
      </c>
      <c r="B13" s="68">
        <f>'ALS 10 BAZAR'!B84:E84</f>
        <v>0</v>
      </c>
      <c r="C13" s="69"/>
      <c r="D13" s="69"/>
      <c r="E13" s="70"/>
      <c r="F13" s="37">
        <f>'ALS 10 BAZAR'!F84</f>
        <v>6</v>
      </c>
      <c r="G13" s="38">
        <f>'ALS 10 BAZAR'!G84</f>
        <v>0</v>
      </c>
      <c r="H13" s="5">
        <f t="shared" si="0"/>
        <v>0</v>
      </c>
      <c r="I13" s="4">
        <f>'ALS 10 BAZAR'!I84</f>
        <v>0</v>
      </c>
      <c r="J13" s="8">
        <f t="shared" si="1"/>
        <v>0</v>
      </c>
      <c r="K13" s="101"/>
      <c r="L13" s="103"/>
      <c r="M13" s="101"/>
      <c r="N13" s="103"/>
      <c r="O13" s="101"/>
      <c r="P13" s="102"/>
      <c r="Q13" s="102"/>
      <c r="R13" s="102"/>
      <c r="S13" s="103"/>
      <c r="T13" s="89"/>
      <c r="U13" s="90"/>
      <c r="V13" s="90"/>
      <c r="W13" s="90"/>
      <c r="X13" s="90"/>
      <c r="Y13" s="90"/>
      <c r="Z13" s="90"/>
      <c r="AA13" s="91"/>
    </row>
    <row r="14" spans="1:34" x14ac:dyDescent="0.2">
      <c r="A14" s="7">
        <f>'ALS 10 BAZAR'!A85</f>
        <v>0</v>
      </c>
      <c r="B14" s="68" t="str">
        <f>'ALS 10 BAZAR'!B85:E85</f>
        <v>TORREMOTO</v>
      </c>
      <c r="C14" s="69"/>
      <c r="D14" s="69"/>
      <c r="E14" s="70"/>
      <c r="F14" s="37">
        <f>'ALS 10 BAZAR'!F85</f>
        <v>6</v>
      </c>
      <c r="G14" s="38">
        <f>'ALS 10 BAZAR'!G85</f>
        <v>150</v>
      </c>
      <c r="H14" s="5">
        <f t="shared" si="0"/>
        <v>900</v>
      </c>
      <c r="I14" s="4">
        <f>'ALS 10 BAZAR'!I85</f>
        <v>7.2</v>
      </c>
      <c r="J14" s="8">
        <f t="shared" si="1"/>
        <v>6480</v>
      </c>
      <c r="K14" s="89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1"/>
    </row>
    <row r="15" spans="1:34" x14ac:dyDescent="0.2">
      <c r="A15" s="7">
        <f>'ALS 10 BAZAR'!A86</f>
        <v>1374</v>
      </c>
      <c r="B15" s="68" t="str">
        <f>'ALS 10 BAZAR'!B86:E86</f>
        <v>QUEBRA CABECA ALFABETO INGLES</v>
      </c>
      <c r="C15" s="69"/>
      <c r="D15" s="69"/>
      <c r="E15" s="70"/>
      <c r="F15" s="37">
        <f>'ALS 10 BAZAR'!F86</f>
        <v>6</v>
      </c>
      <c r="G15" s="38">
        <f>'ALS 10 BAZAR'!G86</f>
        <v>35</v>
      </c>
      <c r="H15" s="5">
        <f t="shared" si="0"/>
        <v>210</v>
      </c>
      <c r="I15" s="4">
        <f>'ALS 10 BAZAR'!I86</f>
        <v>6.7</v>
      </c>
      <c r="J15" s="8">
        <f t="shared" si="1"/>
        <v>1407</v>
      </c>
      <c r="K15" s="89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1"/>
    </row>
    <row r="16" spans="1:34" x14ac:dyDescent="0.2">
      <c r="A16" s="7">
        <f>'ALS 10 BAZAR'!A87</f>
        <v>0</v>
      </c>
      <c r="B16" s="68" t="str">
        <f>'ALS 10 BAZAR'!B87:E87</f>
        <v>JOGO DA MEMORIA INGLES</v>
      </c>
      <c r="C16" s="69"/>
      <c r="D16" s="69"/>
      <c r="E16" s="70"/>
      <c r="F16" s="37">
        <f>'ALS 10 BAZAR'!F87</f>
        <v>6</v>
      </c>
      <c r="G16" s="38">
        <f>'ALS 10 BAZAR'!G87</f>
        <v>0</v>
      </c>
      <c r="H16" s="5">
        <f t="shared" si="0"/>
        <v>0</v>
      </c>
      <c r="I16" s="4">
        <f>'ALS 10 BAZAR'!I87</f>
        <v>6.7</v>
      </c>
      <c r="J16" s="8">
        <f t="shared" si="1"/>
        <v>0</v>
      </c>
      <c r="K16" s="89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1"/>
    </row>
    <row r="17" spans="1:27" x14ac:dyDescent="0.2">
      <c r="A17" s="7">
        <f>'ALS 10 BAZAR'!A88</f>
        <v>2017</v>
      </c>
      <c r="B17" s="68" t="str">
        <f>'ALS 10 BAZAR'!B88:E88</f>
        <v>JOGO DA MEMORIA ANIMAIS</v>
      </c>
      <c r="C17" s="69"/>
      <c r="D17" s="69"/>
      <c r="E17" s="70"/>
      <c r="F17" s="37">
        <f>'ALS 10 BAZAR'!F88</f>
        <v>6</v>
      </c>
      <c r="G17" s="38">
        <f>'ALS 10 BAZAR'!G88</f>
        <v>60</v>
      </c>
      <c r="H17" s="5">
        <f t="shared" si="0"/>
        <v>360</v>
      </c>
      <c r="I17" s="4">
        <f>'ALS 10 BAZAR'!I88</f>
        <v>6.7</v>
      </c>
      <c r="J17" s="8">
        <f t="shared" si="1"/>
        <v>2412</v>
      </c>
      <c r="K17" s="89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1"/>
    </row>
    <row r="18" spans="1:27" x14ac:dyDescent="0.2">
      <c r="A18" s="7">
        <f>'ALS 10 BAZAR'!A89</f>
        <v>2016</v>
      </c>
      <c r="B18" s="68" t="str">
        <f>'ALS 10 BAZAR'!B89:E89</f>
        <v>JOGO DA MEMORIA FAZENDA</v>
      </c>
      <c r="C18" s="69"/>
      <c r="D18" s="69"/>
      <c r="E18" s="70"/>
      <c r="F18" s="37">
        <f>'ALS 10 BAZAR'!F89</f>
        <v>6</v>
      </c>
      <c r="G18" s="38">
        <f>'ALS 10 BAZAR'!G89</f>
        <v>0</v>
      </c>
      <c r="H18" s="5">
        <f t="shared" si="0"/>
        <v>0</v>
      </c>
      <c r="I18" s="4">
        <f>'ALS 10 BAZAR'!I89</f>
        <v>6.7</v>
      </c>
      <c r="J18" s="8">
        <f t="shared" si="1"/>
        <v>0</v>
      </c>
      <c r="K18" s="89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1"/>
    </row>
    <row r="19" spans="1:27" x14ac:dyDescent="0.2">
      <c r="A19" s="7">
        <f>'ALS 10 BAZAR'!A90</f>
        <v>2021</v>
      </c>
      <c r="B19" s="68" t="str">
        <f>'ALS 10 BAZAR'!B90:E90</f>
        <v>JOGO DA MEMORIA BRANCA DE NEVE</v>
      </c>
      <c r="C19" s="69"/>
      <c r="D19" s="69"/>
      <c r="E19" s="70"/>
      <c r="F19" s="37">
        <f>'ALS 10 BAZAR'!F90</f>
        <v>6</v>
      </c>
      <c r="G19" s="38">
        <f>'ALS 10 BAZAR'!G90</f>
        <v>35</v>
      </c>
      <c r="H19" s="5">
        <f t="shared" si="0"/>
        <v>210</v>
      </c>
      <c r="I19" s="4">
        <f>'ALS 10 BAZAR'!I90</f>
        <v>6.7</v>
      </c>
      <c r="J19" s="8">
        <f t="shared" si="1"/>
        <v>1407</v>
      </c>
      <c r="K19" s="89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1"/>
    </row>
    <row r="20" spans="1:27" x14ac:dyDescent="0.2">
      <c r="A20" s="7">
        <f>'ALS 10 BAZAR'!A91</f>
        <v>2020</v>
      </c>
      <c r="B20" s="68" t="str">
        <f>'ALS 10 BAZAR'!B91:E91</f>
        <v>JOGO DA MEMORIA CINDERELA</v>
      </c>
      <c r="C20" s="69"/>
      <c r="D20" s="69"/>
      <c r="E20" s="70"/>
      <c r="F20" s="37">
        <f>'ALS 10 BAZAR'!F91</f>
        <v>6</v>
      </c>
      <c r="G20" s="38">
        <f>'ALS 10 BAZAR'!G91</f>
        <v>35</v>
      </c>
      <c r="H20" s="5">
        <f t="shared" si="0"/>
        <v>210</v>
      </c>
      <c r="I20" s="4">
        <f>'ALS 10 BAZAR'!I91</f>
        <v>6.7</v>
      </c>
      <c r="J20" s="8">
        <f t="shared" si="1"/>
        <v>1407</v>
      </c>
      <c r="K20" s="89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1"/>
    </row>
    <row r="21" spans="1:27" x14ac:dyDescent="0.2">
      <c r="A21" s="7">
        <f>'ALS 10 BAZAR'!A92</f>
        <v>2019</v>
      </c>
      <c r="B21" s="68" t="str">
        <f>'ALS 10 BAZAR'!B92:E92</f>
        <v>JOGO DA MEMORIA VEICULOS</v>
      </c>
      <c r="C21" s="69"/>
      <c r="D21" s="69"/>
      <c r="E21" s="70"/>
      <c r="F21" s="37">
        <f>'ALS 10 BAZAR'!F92</f>
        <v>6</v>
      </c>
      <c r="G21" s="38">
        <f>'ALS 10 BAZAR'!G92</f>
        <v>35</v>
      </c>
      <c r="H21" s="5">
        <f t="shared" si="0"/>
        <v>210</v>
      </c>
      <c r="I21" s="4">
        <f>'ALS 10 BAZAR'!I92</f>
        <v>6.7</v>
      </c>
      <c r="J21" s="8">
        <f t="shared" si="1"/>
        <v>1407</v>
      </c>
      <c r="K21" s="89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</row>
    <row r="22" spans="1:27" x14ac:dyDescent="0.2">
      <c r="A22" s="7">
        <f>'ALS 10 BAZAR'!A93</f>
        <v>2008</v>
      </c>
      <c r="B22" s="68" t="str">
        <f>'ALS 10 BAZAR'!B93:E93</f>
        <v>QUEBRA CABECA CHAPEUZINHO</v>
      </c>
      <c r="C22" s="69"/>
      <c r="D22" s="69"/>
      <c r="E22" s="70"/>
      <c r="F22" s="37">
        <f>'ALS 10 BAZAR'!F93</f>
        <v>6</v>
      </c>
      <c r="G22" s="38">
        <f>'ALS 10 BAZAR'!G93</f>
        <v>35</v>
      </c>
      <c r="H22" s="5">
        <f t="shared" si="0"/>
        <v>210</v>
      </c>
      <c r="I22" s="4">
        <f>'ALS 10 BAZAR'!I93</f>
        <v>6.7</v>
      </c>
      <c r="J22" s="8">
        <f t="shared" si="1"/>
        <v>1407</v>
      </c>
      <c r="K22" s="89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1"/>
    </row>
    <row r="23" spans="1:27" x14ac:dyDescent="0.2">
      <c r="A23" s="7">
        <f>'ALS 10 BAZAR'!A94</f>
        <v>2006</v>
      </c>
      <c r="B23" s="68" t="str">
        <f>'ALS 10 BAZAR'!B94:E94</f>
        <v>QUEBRA CABECA DINO</v>
      </c>
      <c r="C23" s="69"/>
      <c r="D23" s="69"/>
      <c r="E23" s="70"/>
      <c r="F23" s="37">
        <f>'ALS 10 BAZAR'!F94</f>
        <v>6</v>
      </c>
      <c r="G23" s="38">
        <f>'ALS 10 BAZAR'!G94</f>
        <v>25</v>
      </c>
      <c r="H23" s="5">
        <f t="shared" si="0"/>
        <v>150</v>
      </c>
      <c r="I23" s="4">
        <f>'ALS 10 BAZAR'!I94</f>
        <v>6.7</v>
      </c>
      <c r="J23" s="8">
        <f t="shared" si="1"/>
        <v>1005</v>
      </c>
      <c r="K23" s="89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1"/>
    </row>
    <row r="24" spans="1:27" x14ac:dyDescent="0.2">
      <c r="A24" s="7">
        <f>'ALS 10 BAZAR'!A95</f>
        <v>2012</v>
      </c>
      <c r="B24" s="68" t="str">
        <f>'ALS 10 BAZAR'!B95:E95</f>
        <v>QUEBRA CABECA CINDERELA</v>
      </c>
      <c r="C24" s="69"/>
      <c r="D24" s="69"/>
      <c r="E24" s="70"/>
      <c r="F24" s="37">
        <f>'ALS 10 BAZAR'!F95</f>
        <v>6</v>
      </c>
      <c r="G24" s="38">
        <f>'ALS 10 BAZAR'!G95</f>
        <v>35</v>
      </c>
      <c r="H24" s="5">
        <f t="shared" si="0"/>
        <v>210</v>
      </c>
      <c r="I24" s="4">
        <f>'ALS 10 BAZAR'!I95</f>
        <v>6.7</v>
      </c>
      <c r="J24" s="8">
        <f t="shared" si="1"/>
        <v>1407</v>
      </c>
      <c r="K24" s="89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1"/>
    </row>
    <row r="25" spans="1:27" x14ac:dyDescent="0.2">
      <c r="A25" s="7">
        <f>'ALS 10 BAZAR'!A96</f>
        <v>2004</v>
      </c>
      <c r="B25" s="68" t="str">
        <f>'ALS 10 BAZAR'!B96:E96</f>
        <v>QUEBRA CABECA PINOQUIO</v>
      </c>
      <c r="C25" s="69"/>
      <c r="D25" s="69"/>
      <c r="E25" s="70"/>
      <c r="F25" s="37">
        <f>'ALS 10 BAZAR'!F96</f>
        <v>6</v>
      </c>
      <c r="G25" s="38">
        <f>'ALS 10 BAZAR'!G96</f>
        <v>25</v>
      </c>
      <c r="H25" s="5">
        <f t="shared" si="0"/>
        <v>150</v>
      </c>
      <c r="I25" s="4">
        <f>'ALS 10 BAZAR'!I96</f>
        <v>6.7</v>
      </c>
      <c r="J25" s="8">
        <f t="shared" si="1"/>
        <v>1005</v>
      </c>
      <c r="K25" s="89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1"/>
    </row>
    <row r="26" spans="1:27" x14ac:dyDescent="0.2">
      <c r="A26" s="7">
        <f>'ALS 10 BAZAR'!A97</f>
        <v>2003</v>
      </c>
      <c r="B26" s="68" t="str">
        <f>'ALS 10 BAZAR'!B97:E97</f>
        <v>QUEBRA CABECA CASTELO DA PRINCESA</v>
      </c>
      <c r="C26" s="69"/>
      <c r="D26" s="69"/>
      <c r="E26" s="70"/>
      <c r="F26" s="37">
        <f>'ALS 10 BAZAR'!F97</f>
        <v>6</v>
      </c>
      <c r="G26" s="38">
        <f>'ALS 10 BAZAR'!G97</f>
        <v>0</v>
      </c>
      <c r="H26" s="5">
        <f t="shared" si="0"/>
        <v>0</v>
      </c>
      <c r="I26" s="4">
        <f>'ALS 10 BAZAR'!I97</f>
        <v>6.7</v>
      </c>
      <c r="J26" s="8">
        <f t="shared" si="1"/>
        <v>0</v>
      </c>
      <c r="K26" s="89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1"/>
    </row>
    <row r="27" spans="1:27" x14ac:dyDescent="0.2">
      <c r="A27" s="7">
        <f>'ALS 10 BAZAR'!A98</f>
        <v>2015</v>
      </c>
      <c r="B27" s="68" t="str">
        <f>'ALS 10 BAZAR'!B98:E98</f>
        <v>QUEBRA CABECA ALFABETO ANIMAIS</v>
      </c>
      <c r="C27" s="69"/>
      <c r="D27" s="69"/>
      <c r="E27" s="70"/>
      <c r="F27" s="37">
        <f>'ALS 10 BAZAR'!F98</f>
        <v>6</v>
      </c>
      <c r="G27" s="38">
        <f>'ALS 10 BAZAR'!G98</f>
        <v>35</v>
      </c>
      <c r="H27" s="5">
        <f t="shared" si="0"/>
        <v>210</v>
      </c>
      <c r="I27" s="4">
        <f>'ALS 10 BAZAR'!I98</f>
        <v>6.7</v>
      </c>
      <c r="J27" s="8">
        <f t="shared" si="1"/>
        <v>1407</v>
      </c>
      <c r="K27" s="89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1"/>
    </row>
    <row r="28" spans="1:27" x14ac:dyDescent="0.2">
      <c r="A28" s="7">
        <f>'ALS 10 BAZAR'!A99</f>
        <v>2009</v>
      </c>
      <c r="B28" s="68" t="str">
        <f>'ALS 10 BAZAR'!B99:E99</f>
        <v>QUEBRA CABECA TRENZINHO</v>
      </c>
      <c r="C28" s="69"/>
      <c r="D28" s="69"/>
      <c r="E28" s="70"/>
      <c r="F28" s="37">
        <f>'ALS 10 BAZAR'!F99</f>
        <v>6</v>
      </c>
      <c r="G28" s="38">
        <f>'ALS 10 BAZAR'!G99</f>
        <v>25</v>
      </c>
      <c r="H28" s="5">
        <f t="shared" si="0"/>
        <v>150</v>
      </c>
      <c r="I28" s="4">
        <f>'ALS 10 BAZAR'!I99</f>
        <v>6.7</v>
      </c>
      <c r="J28" s="8">
        <f t="shared" si="1"/>
        <v>1005</v>
      </c>
      <c r="K28" s="89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1"/>
    </row>
    <row r="29" spans="1:27" x14ac:dyDescent="0.2">
      <c r="A29" s="7">
        <f>'ALS 10 BAZAR'!A100</f>
        <v>2013</v>
      </c>
      <c r="B29" s="68" t="str">
        <f>'ALS 10 BAZAR'!B100:E100</f>
        <v>QUEBRA CABECA BRANCA DE NEVE</v>
      </c>
      <c r="C29" s="69"/>
      <c r="D29" s="69"/>
      <c r="E29" s="70"/>
      <c r="F29" s="37">
        <f>'ALS 10 BAZAR'!F100</f>
        <v>6</v>
      </c>
      <c r="G29" s="38">
        <f>'ALS 10 BAZAR'!G100</f>
        <v>25</v>
      </c>
      <c r="H29" s="5">
        <f t="shared" si="0"/>
        <v>150</v>
      </c>
      <c r="I29" s="4">
        <f>'ALS 10 BAZAR'!I100</f>
        <v>6.7</v>
      </c>
      <c r="J29" s="8">
        <f t="shared" si="1"/>
        <v>1005</v>
      </c>
      <c r="K29" s="89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1"/>
    </row>
    <row r="30" spans="1:27" x14ac:dyDescent="0.2">
      <c r="A30" s="7">
        <f>'ALS 10 BAZAR'!A101</f>
        <v>2014</v>
      </c>
      <c r="B30" s="68" t="str">
        <f>'ALS 10 BAZAR'!B101:E101</f>
        <v>QUEBRA CABECA OS 3 PORQUINHOS</v>
      </c>
      <c r="C30" s="69"/>
      <c r="D30" s="69"/>
      <c r="E30" s="70"/>
      <c r="F30" s="37">
        <f>'ALS 10 BAZAR'!F101</f>
        <v>6</v>
      </c>
      <c r="G30" s="38">
        <f>'ALS 10 BAZAR'!G101</f>
        <v>20</v>
      </c>
      <c r="H30" s="5">
        <f t="shared" si="0"/>
        <v>120</v>
      </c>
      <c r="I30" s="4">
        <f>'ALS 10 BAZAR'!I101</f>
        <v>6.7</v>
      </c>
      <c r="J30" s="8">
        <f t="shared" si="1"/>
        <v>804</v>
      </c>
      <c r="K30" s="89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1"/>
    </row>
    <row r="31" spans="1:27" x14ac:dyDescent="0.2">
      <c r="A31" s="7">
        <f>'ALS 10 BAZAR'!A102</f>
        <v>2007</v>
      </c>
      <c r="B31" s="68" t="str">
        <f>'ALS 10 BAZAR'!B102:E102</f>
        <v>QUEBRA CABECA UNICORNIO</v>
      </c>
      <c r="C31" s="69"/>
      <c r="D31" s="69"/>
      <c r="E31" s="70"/>
      <c r="F31" s="37">
        <f>'ALS 10 BAZAR'!F102</f>
        <v>6</v>
      </c>
      <c r="G31" s="38">
        <f>'ALS 10 BAZAR'!G102</f>
        <v>25</v>
      </c>
      <c r="H31" s="5">
        <f t="shared" si="0"/>
        <v>150</v>
      </c>
      <c r="I31" s="4">
        <f>'ALS 10 BAZAR'!I102</f>
        <v>6.7</v>
      </c>
      <c r="J31" s="8">
        <f t="shared" si="1"/>
        <v>1005</v>
      </c>
      <c r="K31" s="89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1"/>
    </row>
    <row r="32" spans="1:27" x14ac:dyDescent="0.2">
      <c r="A32" s="7">
        <f>'ALS 10 BAZAR'!A103</f>
        <v>4012</v>
      </c>
      <c r="B32" s="68" t="str">
        <f>'ALS 10 BAZAR'!B103:E103</f>
        <v>JOGO DOMINO</v>
      </c>
      <c r="C32" s="69"/>
      <c r="D32" s="69"/>
      <c r="E32" s="70"/>
      <c r="F32" s="37">
        <f>'ALS 10 BAZAR'!F103</f>
        <v>6</v>
      </c>
      <c r="G32" s="38">
        <f>'ALS 10 BAZAR'!G103</f>
        <v>100</v>
      </c>
      <c r="H32" s="5">
        <f t="shared" si="0"/>
        <v>600</v>
      </c>
      <c r="I32" s="4">
        <f>'ALS 10 BAZAR'!I103</f>
        <v>6.7</v>
      </c>
      <c r="J32" s="8">
        <f t="shared" si="1"/>
        <v>4020</v>
      </c>
      <c r="K32" s="89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1"/>
    </row>
    <row r="33" spans="1:27" x14ac:dyDescent="0.2">
      <c r="A33" s="7">
        <f>'ALS 10 BAZAR'!A104</f>
        <v>4012</v>
      </c>
      <c r="B33" s="68" t="str">
        <f>'ALS 10 BAZAR'!B104:E104</f>
        <v>JOGO 2 EM 1 DAMA E TRILHA</v>
      </c>
      <c r="C33" s="69"/>
      <c r="D33" s="69"/>
      <c r="E33" s="70"/>
      <c r="F33" s="37">
        <f>'ALS 10 BAZAR'!F104</f>
        <v>6</v>
      </c>
      <c r="G33" s="38">
        <f>'ALS 10 BAZAR'!G104</f>
        <v>0</v>
      </c>
      <c r="H33" s="5">
        <f t="shared" si="0"/>
        <v>0</v>
      </c>
      <c r="I33" s="4">
        <f>'ALS 10 BAZAR'!I104</f>
        <v>6.7</v>
      </c>
      <c r="J33" s="8">
        <f t="shared" si="1"/>
        <v>0</v>
      </c>
      <c r="K33" s="89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1"/>
    </row>
    <row r="34" spans="1:27" x14ac:dyDescent="0.2">
      <c r="A34" s="7">
        <f>'ALS 10 BAZAR'!A105</f>
        <v>4033</v>
      </c>
      <c r="B34" s="68" t="str">
        <f>'ALS 10 BAZAR'!B105:E105</f>
        <v>JOGO LUDO</v>
      </c>
      <c r="C34" s="69"/>
      <c r="D34" s="69"/>
      <c r="E34" s="70"/>
      <c r="F34" s="37">
        <f>'ALS 10 BAZAR'!F105</f>
        <v>6</v>
      </c>
      <c r="G34" s="38">
        <f>'ALS 10 BAZAR'!G105</f>
        <v>0</v>
      </c>
      <c r="H34" s="5">
        <f t="shared" si="0"/>
        <v>0</v>
      </c>
      <c r="I34" s="4">
        <f>'ALS 10 BAZAR'!I105</f>
        <v>6.7</v>
      </c>
      <c r="J34" s="8">
        <f t="shared" si="1"/>
        <v>0</v>
      </c>
      <c r="K34" s="89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1"/>
    </row>
    <row r="35" spans="1:27" x14ac:dyDescent="0.2">
      <c r="A35" s="7">
        <f>'ALS 10 BAZAR'!A106</f>
        <v>0</v>
      </c>
      <c r="B35" s="68">
        <f>'ALS 10 BAZAR'!B106:E106</f>
        <v>0</v>
      </c>
      <c r="C35" s="69"/>
      <c r="D35" s="69"/>
      <c r="E35" s="70"/>
      <c r="F35" s="37">
        <f>'ALS 10 BAZAR'!F106</f>
        <v>6</v>
      </c>
      <c r="G35" s="38">
        <f>'ALS 10 BAZAR'!G106</f>
        <v>0</v>
      </c>
      <c r="H35" s="5">
        <f t="shared" si="0"/>
        <v>0</v>
      </c>
      <c r="I35" s="4">
        <f>'ALS 10 BAZAR'!I106</f>
        <v>0</v>
      </c>
      <c r="J35" s="8">
        <f t="shared" si="1"/>
        <v>0</v>
      </c>
      <c r="K35" s="89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1"/>
    </row>
    <row r="36" spans="1:27" x14ac:dyDescent="0.2">
      <c r="A36" s="7">
        <f>'ALS 10 BAZAR'!A107</f>
        <v>0</v>
      </c>
      <c r="B36" s="68" t="str">
        <f>'ALS 10 BAZAR'!B107:E107</f>
        <v>QUADRO SEMANA ORGANIZADA</v>
      </c>
      <c r="C36" s="69"/>
      <c r="D36" s="69"/>
      <c r="E36" s="70"/>
      <c r="F36" s="37">
        <f>'ALS 10 BAZAR'!F107</f>
        <v>6</v>
      </c>
      <c r="G36" s="38">
        <f>'ALS 10 BAZAR'!G107</f>
        <v>0</v>
      </c>
      <c r="H36" s="5">
        <f t="shared" si="0"/>
        <v>0</v>
      </c>
      <c r="I36" s="4">
        <f>'ALS 10 BAZAR'!I107</f>
        <v>0</v>
      </c>
      <c r="J36" s="8">
        <f t="shared" si="1"/>
        <v>0</v>
      </c>
      <c r="K36" s="89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1"/>
    </row>
    <row r="37" spans="1:27" x14ac:dyDescent="0.2">
      <c r="A37" s="7">
        <f>'ALS 10 BAZAR'!A108</f>
        <v>1435</v>
      </c>
      <c r="B37" s="68" t="str">
        <f>'ALS 10 BAZAR'!B108:E108</f>
        <v>QUADRO DESENHANDO AS LETRAS</v>
      </c>
      <c r="C37" s="69"/>
      <c r="D37" s="69"/>
      <c r="E37" s="70"/>
      <c r="F37" s="37">
        <f>'ALS 10 BAZAR'!F108</f>
        <v>6</v>
      </c>
      <c r="G37" s="38">
        <f>'ALS 10 BAZAR'!G108</f>
        <v>0</v>
      </c>
      <c r="H37" s="5">
        <f t="shared" si="0"/>
        <v>0</v>
      </c>
      <c r="I37" s="4">
        <f>'ALS 10 BAZAR'!I108</f>
        <v>6.7</v>
      </c>
      <c r="J37" s="8">
        <f t="shared" si="1"/>
        <v>0</v>
      </c>
      <c r="K37" s="89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1"/>
    </row>
    <row r="38" spans="1:27" x14ac:dyDescent="0.2">
      <c r="A38" s="7">
        <f>'ALS 10 BAZAR'!A109</f>
        <v>1437</v>
      </c>
      <c r="B38" s="68" t="str">
        <f>'ALS 10 BAZAR'!B109:E109</f>
        <v>QUADRO VOGAIS</v>
      </c>
      <c r="C38" s="69"/>
      <c r="D38" s="69"/>
      <c r="E38" s="70"/>
      <c r="F38" s="37">
        <f>'ALS 10 BAZAR'!F109</f>
        <v>6</v>
      </c>
      <c r="G38" s="38">
        <f>'ALS 10 BAZAR'!G109</f>
        <v>0</v>
      </c>
      <c r="H38" s="5">
        <f t="shared" si="0"/>
        <v>0</v>
      </c>
      <c r="I38" s="4">
        <f>'ALS 10 BAZAR'!I109</f>
        <v>6.7</v>
      </c>
      <c r="J38" s="8">
        <f t="shared" si="1"/>
        <v>0</v>
      </c>
      <c r="K38" s="89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1"/>
    </row>
    <row r="39" spans="1:27" x14ac:dyDescent="0.2">
      <c r="A39" s="7">
        <f>'ALS 10 BAZAR'!A110</f>
        <v>1439</v>
      </c>
      <c r="B39" s="68" t="str">
        <f>'ALS 10 BAZAR'!B110:E110</f>
        <v>QUADRO BRANCA DE NEVE</v>
      </c>
      <c r="C39" s="69"/>
      <c r="D39" s="69"/>
      <c r="E39" s="70"/>
      <c r="F39" s="37">
        <f>'ALS 10 BAZAR'!F110</f>
        <v>6</v>
      </c>
      <c r="G39" s="38">
        <f>'ALS 10 BAZAR'!G110</f>
        <v>45</v>
      </c>
      <c r="H39" s="5">
        <f t="shared" si="0"/>
        <v>270</v>
      </c>
      <c r="I39" s="4">
        <f>'ALS 10 BAZAR'!I110</f>
        <v>6.7</v>
      </c>
      <c r="J39" s="8">
        <f t="shared" si="1"/>
        <v>1809</v>
      </c>
      <c r="K39" s="89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1"/>
    </row>
    <row r="40" spans="1:27" x14ac:dyDescent="0.2">
      <c r="A40" s="7">
        <f>'ALS 10 BAZAR'!A111</f>
        <v>0</v>
      </c>
      <c r="B40" s="68" t="str">
        <f>'ALS 10 BAZAR'!B111:E111</f>
        <v>QUADRO FLORK</v>
      </c>
      <c r="C40" s="69"/>
      <c r="D40" s="69"/>
      <c r="E40" s="70"/>
      <c r="F40" s="37">
        <f>'ALS 10 BAZAR'!F111</f>
        <v>6</v>
      </c>
      <c r="G40" s="38">
        <f>'ALS 10 BAZAR'!G111</f>
        <v>0</v>
      </c>
      <c r="H40" s="5">
        <f t="shared" si="0"/>
        <v>0</v>
      </c>
      <c r="I40" s="4">
        <f>'ALS 10 BAZAR'!I111</f>
        <v>6.7</v>
      </c>
      <c r="J40" s="8">
        <f t="shared" si="1"/>
        <v>0</v>
      </c>
      <c r="K40" s="89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1"/>
    </row>
    <row r="41" spans="1:27" x14ac:dyDescent="0.2">
      <c r="A41" s="7">
        <f>'ALS 10 BAZAR'!A112</f>
        <v>1440</v>
      </c>
      <c r="B41" s="68" t="str">
        <f>'ALS 10 BAZAR'!B112:E112</f>
        <v>QUADRO MINHA ROTINA BRAVINHA</v>
      </c>
      <c r="C41" s="69"/>
      <c r="D41" s="69"/>
      <c r="E41" s="70"/>
      <c r="F41" s="37">
        <f>'ALS 10 BAZAR'!F112</f>
        <v>6</v>
      </c>
      <c r="G41" s="38">
        <f>'ALS 10 BAZAR'!G112</f>
        <v>0</v>
      </c>
      <c r="H41" s="5">
        <f t="shared" si="0"/>
        <v>0</v>
      </c>
      <c r="I41" s="4">
        <f>'ALS 10 BAZAR'!I112</f>
        <v>6.7</v>
      </c>
      <c r="J41" s="8">
        <f t="shared" si="1"/>
        <v>0</v>
      </c>
      <c r="K41" s="89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1"/>
    </row>
    <row r="42" spans="1:27" x14ac:dyDescent="0.2">
      <c r="A42" s="7">
        <f>'ALS 10 BAZAR'!A113</f>
        <v>1429</v>
      </c>
      <c r="B42" s="68" t="str">
        <f>'ALS 10 BAZAR'!B113:E113</f>
        <v>QUADRO MINHA ROTINA</v>
      </c>
      <c r="C42" s="69"/>
      <c r="D42" s="69"/>
      <c r="E42" s="70"/>
      <c r="F42" s="37">
        <f>'ALS 10 BAZAR'!F113</f>
        <v>6</v>
      </c>
      <c r="G42" s="38">
        <f>'ALS 10 BAZAR'!G113</f>
        <v>50</v>
      </c>
      <c r="H42" s="5">
        <f t="shared" si="0"/>
        <v>300</v>
      </c>
      <c r="I42" s="4">
        <f>'ALS 10 BAZAR'!I113</f>
        <v>6.7</v>
      </c>
      <c r="J42" s="8">
        <f t="shared" si="1"/>
        <v>2010</v>
      </c>
      <c r="K42" s="89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1"/>
    </row>
    <row r="43" spans="1:27" x14ac:dyDescent="0.2">
      <c r="A43" s="7">
        <f>'ALS 10 BAZAR'!A114</f>
        <v>1430</v>
      </c>
      <c r="B43" s="68" t="str">
        <f>'ALS 10 BAZAR'!B114:E114</f>
        <v>QUADRO MURAL DAS CONQUISTAS</v>
      </c>
      <c r="C43" s="69"/>
      <c r="D43" s="69"/>
      <c r="E43" s="70"/>
      <c r="F43" s="37">
        <f>'ALS 10 BAZAR'!F114</f>
        <v>6</v>
      </c>
      <c r="G43" s="38">
        <f>'ALS 10 BAZAR'!G114</f>
        <v>30</v>
      </c>
      <c r="H43" s="5">
        <f t="shared" si="0"/>
        <v>180</v>
      </c>
      <c r="I43" s="4">
        <f>'ALS 10 BAZAR'!I114</f>
        <v>6.7</v>
      </c>
      <c r="J43" s="8">
        <f t="shared" si="1"/>
        <v>1206</v>
      </c>
      <c r="K43" s="89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1"/>
    </row>
    <row r="44" spans="1:27" x14ac:dyDescent="0.2">
      <c r="A44" s="7">
        <f>'ALS 10 BAZAR'!A115</f>
        <v>1431</v>
      </c>
      <c r="B44" s="68" t="str">
        <f>'ALS 10 BAZAR'!B115:E115</f>
        <v>QUADRO MEUS RABISCOS</v>
      </c>
      <c r="C44" s="69"/>
      <c r="D44" s="69"/>
      <c r="E44" s="70"/>
      <c r="F44" s="37">
        <f>'ALS 10 BAZAR'!F115</f>
        <v>6</v>
      </c>
      <c r="G44" s="38">
        <f>'ALS 10 BAZAR'!G115</f>
        <v>50</v>
      </c>
      <c r="H44" s="5">
        <f t="shared" si="0"/>
        <v>300</v>
      </c>
      <c r="I44" s="4">
        <f>'ALS 10 BAZAR'!I115</f>
        <v>6.7</v>
      </c>
      <c r="J44" s="8">
        <f t="shared" si="1"/>
        <v>2010</v>
      </c>
      <c r="K44" s="89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1"/>
    </row>
    <row r="45" spans="1:27" x14ac:dyDescent="0.2">
      <c r="A45" s="7">
        <f>'ALS 10 BAZAR'!A142</f>
        <v>2028</v>
      </c>
      <c r="B45" s="68" t="str">
        <f>'ALS 10 BAZAR'!B142:E142</f>
        <v>DESCOBRINDO OS NUMEROS</v>
      </c>
      <c r="C45" s="69"/>
      <c r="D45" s="69"/>
      <c r="E45" s="70"/>
      <c r="F45" s="37">
        <f>'ALS 10 BAZAR'!F142</f>
        <v>6</v>
      </c>
      <c r="G45" s="38">
        <f>'ALS 10 BAZAR'!G142</f>
        <v>30</v>
      </c>
      <c r="H45" s="5">
        <f t="shared" si="0"/>
        <v>180</v>
      </c>
      <c r="I45" s="4">
        <f>'ALS 10 BAZAR'!I142</f>
        <v>6.7</v>
      </c>
      <c r="J45" s="8">
        <f t="shared" si="1"/>
        <v>1206</v>
      </c>
      <c r="K45" s="89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1"/>
    </row>
    <row r="46" spans="1:27" x14ac:dyDescent="0.2">
      <c r="A46" s="7">
        <f>'ALS 10 BAZAR'!A143</f>
        <v>2029</v>
      </c>
      <c r="B46" s="68" t="str">
        <f>'ALS 10 BAZAR'!B143:E143</f>
        <v>DESCOBRINDO AS LETRAS</v>
      </c>
      <c r="C46" s="69"/>
      <c r="D46" s="69"/>
      <c r="E46" s="70"/>
      <c r="F46" s="37">
        <f>'ALS 10 BAZAR'!F143</f>
        <v>6</v>
      </c>
      <c r="G46" s="38">
        <f>'ALS 10 BAZAR'!G143</f>
        <v>60</v>
      </c>
      <c r="H46" s="5">
        <f t="shared" si="0"/>
        <v>360</v>
      </c>
      <c r="I46" s="4">
        <f>'ALS 10 BAZAR'!I143</f>
        <v>6.7</v>
      </c>
      <c r="J46" s="8">
        <f t="shared" si="1"/>
        <v>2412</v>
      </c>
      <c r="K46" s="89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1"/>
    </row>
    <row r="47" spans="1:27" x14ac:dyDescent="0.2">
      <c r="A47" s="7">
        <f>'ALS 10 BAZAR'!A144</f>
        <v>4030</v>
      </c>
      <c r="B47" s="68" t="str">
        <f>'ALS 10 BAZAR'!B144:E144</f>
        <v>TABULEIRO ELEFANTE E CACHORRO</v>
      </c>
      <c r="C47" s="69"/>
      <c r="D47" s="69"/>
      <c r="E47" s="70"/>
      <c r="F47" s="37">
        <f>'ALS 10 BAZAR'!F144</f>
        <v>12</v>
      </c>
      <c r="G47" s="38">
        <f>'ALS 10 BAZAR'!G144</f>
        <v>30</v>
      </c>
      <c r="H47" s="5">
        <f t="shared" si="0"/>
        <v>360</v>
      </c>
      <c r="I47" s="4">
        <f>'ALS 10 BAZAR'!I144</f>
        <v>6.7</v>
      </c>
      <c r="J47" s="8">
        <f t="shared" si="1"/>
        <v>2412</v>
      </c>
      <c r="K47" s="89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1"/>
    </row>
    <row r="48" spans="1:27" x14ac:dyDescent="0.2">
      <c r="A48" s="7">
        <f>'ALS 10 BAZAR'!A145</f>
        <v>4031</v>
      </c>
      <c r="B48" s="68" t="str">
        <f>'ALS 10 BAZAR'!B145:E145</f>
        <v>TABULEIRO VACA E PICA PAU</v>
      </c>
      <c r="C48" s="69"/>
      <c r="D48" s="69"/>
      <c r="E48" s="70"/>
      <c r="F48" s="37">
        <f>'ALS 10 BAZAR'!F145</f>
        <v>12</v>
      </c>
      <c r="G48" s="38">
        <f>'ALS 10 BAZAR'!G145</f>
        <v>30</v>
      </c>
      <c r="H48" s="5">
        <f t="shared" si="0"/>
        <v>360</v>
      </c>
      <c r="I48" s="4">
        <f>'ALS 10 BAZAR'!I145</f>
        <v>6.7</v>
      </c>
      <c r="J48" s="8">
        <f t="shared" si="1"/>
        <v>2412</v>
      </c>
      <c r="K48" s="89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1"/>
    </row>
    <row r="49" spans="1:27" x14ac:dyDescent="0.2">
      <c r="A49" s="7">
        <f>'ALS 10 BAZAR'!A146</f>
        <v>4032</v>
      </c>
      <c r="B49" s="68" t="str">
        <f>'ALS 10 BAZAR'!B146:E146</f>
        <v>TABULEIRO TREM E GATO</v>
      </c>
      <c r="C49" s="69"/>
      <c r="D49" s="69"/>
      <c r="E49" s="70"/>
      <c r="F49" s="37">
        <f>'ALS 10 BAZAR'!F146</f>
        <v>12</v>
      </c>
      <c r="G49" s="38">
        <f>'ALS 10 BAZAR'!G146</f>
        <v>30</v>
      </c>
      <c r="H49" s="5">
        <f t="shared" si="0"/>
        <v>360</v>
      </c>
      <c r="I49" s="4">
        <f>'ALS 10 BAZAR'!I146</f>
        <v>6.7</v>
      </c>
      <c r="J49" s="8">
        <f t="shared" si="1"/>
        <v>2412</v>
      </c>
      <c r="K49" s="89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1"/>
    </row>
    <row r="50" spans="1:27" x14ac:dyDescent="0.2">
      <c r="A50" s="7">
        <f>'ALS 10 BAZAR'!A147</f>
        <v>719</v>
      </c>
      <c r="B50" s="68" t="str">
        <f>'ALS 10 BAZAR'!B147:E147</f>
        <v>QUEBRA CABECA ASTRONAUTA</v>
      </c>
      <c r="C50" s="69"/>
      <c r="D50" s="69"/>
      <c r="E50" s="70"/>
      <c r="F50" s="37">
        <f>'ALS 10 BAZAR'!F147</f>
        <v>6</v>
      </c>
      <c r="G50" s="38">
        <f>'ALS 10 BAZAR'!G147</f>
        <v>50</v>
      </c>
      <c r="H50" s="5">
        <f t="shared" si="0"/>
        <v>300</v>
      </c>
      <c r="I50" s="4">
        <f>'ALS 10 BAZAR'!I147</f>
        <v>6.9</v>
      </c>
      <c r="J50" s="8">
        <f t="shared" si="1"/>
        <v>2070</v>
      </c>
      <c r="K50" s="89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1"/>
    </row>
    <row r="51" spans="1:27" x14ac:dyDescent="0.2">
      <c r="A51" s="7">
        <f>'ALS 10 BAZAR'!A148</f>
        <v>723</v>
      </c>
      <c r="B51" s="68" t="str">
        <f>'ALS 10 BAZAR'!B148:E148</f>
        <v>RESTA 1</v>
      </c>
      <c r="C51" s="69"/>
      <c r="D51" s="69"/>
      <c r="E51" s="70"/>
      <c r="F51" s="37">
        <f>'ALS 10 BAZAR'!F148</f>
        <v>6</v>
      </c>
      <c r="G51" s="38">
        <f>'ALS 10 BAZAR'!G148</f>
        <v>0</v>
      </c>
      <c r="H51" s="5">
        <f t="shared" si="0"/>
        <v>0</v>
      </c>
      <c r="I51" s="4">
        <f>'ALS 10 BAZAR'!I148</f>
        <v>6.9</v>
      </c>
      <c r="J51" s="8">
        <f t="shared" si="1"/>
        <v>0</v>
      </c>
      <c r="K51" s="89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1"/>
    </row>
    <row r="52" spans="1:27" x14ac:dyDescent="0.2">
      <c r="A52" s="7">
        <f>'ALS 10 BAZAR'!A149</f>
        <v>725</v>
      </c>
      <c r="B52" s="68" t="str">
        <f>'ALS 10 BAZAR'!B149:E149</f>
        <v>CUBO FORMAS</v>
      </c>
      <c r="C52" s="69"/>
      <c r="D52" s="69"/>
      <c r="E52" s="70"/>
      <c r="F52" s="37">
        <f>'ALS 10 BAZAR'!F149</f>
        <v>6</v>
      </c>
      <c r="G52" s="38">
        <f>'ALS 10 BAZAR'!G149</f>
        <v>40</v>
      </c>
      <c r="H52" s="5">
        <f t="shared" si="0"/>
        <v>240</v>
      </c>
      <c r="I52" s="4">
        <f>'ALS 10 BAZAR'!I149</f>
        <v>6.1</v>
      </c>
      <c r="J52" s="8">
        <f t="shared" si="1"/>
        <v>1464</v>
      </c>
      <c r="K52" s="89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1"/>
    </row>
    <row r="53" spans="1:27" x14ac:dyDescent="0.2">
      <c r="A53" s="7">
        <f>'ALS 10 BAZAR'!A150</f>
        <v>724</v>
      </c>
      <c r="B53" s="68" t="str">
        <f>'ALS 10 BAZAR'!B150:E150</f>
        <v>CUBO VOGAIS</v>
      </c>
      <c r="C53" s="69"/>
      <c r="D53" s="69"/>
      <c r="E53" s="70"/>
      <c r="F53" s="37">
        <f>'ALS 10 BAZAR'!F150</f>
        <v>6</v>
      </c>
      <c r="G53" s="38">
        <f>'ALS 10 BAZAR'!G150</f>
        <v>50</v>
      </c>
      <c r="H53" s="5">
        <f t="shared" si="0"/>
        <v>300</v>
      </c>
      <c r="I53" s="4">
        <f>'ALS 10 BAZAR'!I150</f>
        <v>6.1</v>
      </c>
      <c r="J53" s="8">
        <f t="shared" si="1"/>
        <v>1830</v>
      </c>
      <c r="K53" s="89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1"/>
    </row>
    <row r="54" spans="1:27" x14ac:dyDescent="0.2">
      <c r="A54" s="7">
        <f>'ALS 10 BAZAR'!A151</f>
        <v>730</v>
      </c>
      <c r="B54" s="68" t="str">
        <f>'ALS 10 BAZAR'!B151:E151</f>
        <v>JOGO DO MICO</v>
      </c>
      <c r="C54" s="69"/>
      <c r="D54" s="69"/>
      <c r="E54" s="70"/>
      <c r="F54" s="37">
        <f>'ALS 10 BAZAR'!F151</f>
        <v>18</v>
      </c>
      <c r="G54" s="38">
        <f>'ALS 10 BAZAR'!G151</f>
        <v>35</v>
      </c>
      <c r="H54" s="5">
        <f t="shared" si="0"/>
        <v>630</v>
      </c>
      <c r="I54" s="4">
        <f>'ALS 10 BAZAR'!I151</f>
        <v>6.9</v>
      </c>
      <c r="J54" s="8">
        <f t="shared" si="1"/>
        <v>4347</v>
      </c>
      <c r="K54" s="89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1"/>
    </row>
    <row r="55" spans="1:27" x14ac:dyDescent="0.2">
      <c r="A55" s="7">
        <f>'ALS 10 BAZAR'!A152</f>
        <v>729</v>
      </c>
      <c r="B55" s="68" t="str">
        <f>'ALS 10 BAZAR'!B152:E152</f>
        <v>ROUBA MONTE</v>
      </c>
      <c r="C55" s="69"/>
      <c r="D55" s="69"/>
      <c r="E55" s="70"/>
      <c r="F55" s="37">
        <f>'ALS 10 BAZAR'!F152</f>
        <v>18</v>
      </c>
      <c r="G55" s="38">
        <f>'ALS 10 BAZAR'!G152</f>
        <v>30</v>
      </c>
      <c r="H55" s="5">
        <f t="shared" si="0"/>
        <v>540</v>
      </c>
      <c r="I55" s="4">
        <f>'ALS 10 BAZAR'!I152</f>
        <v>6.9</v>
      </c>
      <c r="J55" s="8">
        <f t="shared" si="1"/>
        <v>3726</v>
      </c>
      <c r="K55" s="89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1"/>
    </row>
    <row r="56" spans="1:27" x14ac:dyDescent="0.2">
      <c r="A56" s="7">
        <f>'ALS 10 BAZAR'!A153</f>
        <v>727</v>
      </c>
      <c r="B56" s="68" t="str">
        <f>'ALS 10 BAZAR'!B153:E153</f>
        <v>QUEBRA CABECA 3D AVIAO</v>
      </c>
      <c r="C56" s="69"/>
      <c r="D56" s="69"/>
      <c r="E56" s="70"/>
      <c r="F56" s="37">
        <f>'ALS 10 BAZAR'!F153</f>
        <v>6</v>
      </c>
      <c r="G56" s="38">
        <f>'ALS 10 BAZAR'!G153</f>
        <v>35</v>
      </c>
      <c r="H56" s="5">
        <f t="shared" si="0"/>
        <v>210</v>
      </c>
      <c r="I56" s="4">
        <f>'ALS 10 BAZAR'!I153</f>
        <v>6.9</v>
      </c>
      <c r="J56" s="8">
        <f t="shared" si="1"/>
        <v>1449</v>
      </c>
      <c r="K56" s="89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1"/>
    </row>
    <row r="57" spans="1:27" x14ac:dyDescent="0.2">
      <c r="A57" s="7">
        <f>'ALS 10 BAZAR'!A154</f>
        <v>726</v>
      </c>
      <c r="B57" s="68" t="str">
        <f>'ALS 10 BAZAR'!B154:E154</f>
        <v>QUEBRA CABECA 3D CAVALO</v>
      </c>
      <c r="C57" s="69"/>
      <c r="D57" s="69"/>
      <c r="E57" s="70"/>
      <c r="F57" s="37">
        <f>'ALS 10 BAZAR'!F154</f>
        <v>6</v>
      </c>
      <c r="G57" s="38">
        <f>'ALS 10 BAZAR'!G154</f>
        <v>35</v>
      </c>
      <c r="H57" s="5">
        <f t="shared" si="0"/>
        <v>210</v>
      </c>
      <c r="I57" s="4">
        <f>'ALS 10 BAZAR'!I154</f>
        <v>6.9</v>
      </c>
      <c r="J57" s="8">
        <f t="shared" si="1"/>
        <v>1449</v>
      </c>
      <c r="K57" s="89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1"/>
    </row>
    <row r="58" spans="1:27" x14ac:dyDescent="0.2">
      <c r="A58" s="7">
        <f>'ALS 10 BAZAR'!A155</f>
        <v>728</v>
      </c>
      <c r="B58" s="68" t="str">
        <f>'ALS 10 BAZAR'!B155:E155</f>
        <v>QUEBRA CABECA 3D DINO</v>
      </c>
      <c r="C58" s="69"/>
      <c r="D58" s="69"/>
      <c r="E58" s="70"/>
      <c r="F58" s="37">
        <f>'ALS 10 BAZAR'!F155</f>
        <v>6</v>
      </c>
      <c r="G58" s="38">
        <f>'ALS 10 BAZAR'!G155</f>
        <v>40</v>
      </c>
      <c r="H58" s="5">
        <f t="shared" si="0"/>
        <v>240</v>
      </c>
      <c r="I58" s="4">
        <f>'ALS 10 BAZAR'!I155</f>
        <v>6.9</v>
      </c>
      <c r="J58" s="8">
        <f t="shared" si="1"/>
        <v>1656</v>
      </c>
      <c r="K58" s="89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1"/>
    </row>
    <row r="59" spans="1:27" x14ac:dyDescent="0.2">
      <c r="A59" s="7">
        <f>'ALS 10 BAZAR'!A156</f>
        <v>731</v>
      </c>
      <c r="B59" s="68" t="str">
        <f>'ALS 10 BAZAR'!B156:E156</f>
        <v>PEQUENO ENGENHEIRO 42PC</v>
      </c>
      <c r="C59" s="69"/>
      <c r="D59" s="69"/>
      <c r="E59" s="70"/>
      <c r="F59" s="37">
        <f>'ALS 10 BAZAR'!F156</f>
        <v>6</v>
      </c>
      <c r="G59" s="38">
        <f>'ALS 10 BAZAR'!G156</f>
        <v>0</v>
      </c>
      <c r="H59" s="5">
        <f t="shared" si="0"/>
        <v>0</v>
      </c>
      <c r="I59" s="4">
        <f>'ALS 10 BAZAR'!I156</f>
        <v>7.3</v>
      </c>
      <c r="J59" s="8">
        <f t="shared" si="1"/>
        <v>0</v>
      </c>
      <c r="K59" s="89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1"/>
    </row>
    <row r="60" spans="1:27" x14ac:dyDescent="0.2">
      <c r="A60" s="7">
        <f>'ALS 10 BAZAR'!A157</f>
        <v>733</v>
      </c>
      <c r="B60" s="68" t="str">
        <f>'ALS 10 BAZAR'!B157:E157</f>
        <v>CASTELO DA PRINCESA 42PC</v>
      </c>
      <c r="C60" s="69"/>
      <c r="D60" s="69"/>
      <c r="E60" s="70"/>
      <c r="F60" s="37">
        <f>'ALS 10 BAZAR'!F157</f>
        <v>6</v>
      </c>
      <c r="G60" s="38">
        <f>'ALS 10 BAZAR'!G157</f>
        <v>0</v>
      </c>
      <c r="H60" s="5">
        <f t="shared" si="0"/>
        <v>0</v>
      </c>
      <c r="I60" s="4">
        <f>'ALS 10 BAZAR'!I157</f>
        <v>7.3</v>
      </c>
      <c r="J60" s="8">
        <f t="shared" si="1"/>
        <v>0</v>
      </c>
      <c r="K60" s="89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1"/>
    </row>
    <row r="61" spans="1:27" x14ac:dyDescent="0.2">
      <c r="A61" s="7">
        <f>'ALS 10 BAZAR'!A158</f>
        <v>0</v>
      </c>
      <c r="B61" s="68" t="str">
        <f>'ALS 10 BAZAR'!B158:E158</f>
        <v>CESTA DE PASCOA CISAL</v>
      </c>
      <c r="C61" s="69"/>
      <c r="D61" s="69"/>
      <c r="E61" s="70"/>
      <c r="F61" s="37">
        <f>'ALS 10 BAZAR'!F158</f>
        <v>6</v>
      </c>
      <c r="G61" s="38">
        <f>'ALS 10 BAZAR'!G158</f>
        <v>0</v>
      </c>
      <c r="H61" s="5">
        <f t="shared" si="0"/>
        <v>0</v>
      </c>
      <c r="I61" s="4">
        <f>'ALS 10 BAZAR'!I158</f>
        <v>6</v>
      </c>
      <c r="J61" s="8">
        <f t="shared" si="1"/>
        <v>0</v>
      </c>
      <c r="K61" s="89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1"/>
    </row>
    <row r="62" spans="1:27" x14ac:dyDescent="0.2">
      <c r="A62" s="7">
        <f>'ALS 10 BAZAR'!A159</f>
        <v>0</v>
      </c>
      <c r="B62" s="68" t="str">
        <f>'ALS 10 BAZAR'!B159:E159</f>
        <v>CESTA DE PASCOA OVO</v>
      </c>
      <c r="C62" s="69"/>
      <c r="D62" s="69"/>
      <c r="E62" s="70"/>
      <c r="F62" s="37">
        <f>'ALS 10 BAZAR'!F159</f>
        <v>6</v>
      </c>
      <c r="G62" s="38">
        <f>'ALS 10 BAZAR'!G159</f>
        <v>0</v>
      </c>
      <c r="H62" s="5">
        <f t="shared" si="0"/>
        <v>0</v>
      </c>
      <c r="I62" s="4">
        <f>'ALS 10 BAZAR'!I159</f>
        <v>6</v>
      </c>
      <c r="J62" s="8">
        <f t="shared" si="1"/>
        <v>0</v>
      </c>
      <c r="K62" s="89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1"/>
    </row>
    <row r="63" spans="1:27" x14ac:dyDescent="0.2">
      <c r="A63" s="7">
        <f>'ALS 10 BAZAR'!A160</f>
        <v>0</v>
      </c>
      <c r="B63" s="68" t="str">
        <f>'ALS 10 BAZAR'!B160:E160</f>
        <v>COFRE MALA DE ECONOMIAS</v>
      </c>
      <c r="C63" s="69"/>
      <c r="D63" s="69"/>
      <c r="E63" s="70"/>
      <c r="F63" s="37">
        <f>'ALS 10 BAZAR'!F160</f>
        <v>6</v>
      </c>
      <c r="G63" s="38">
        <f>'ALS 10 BAZAR'!G160</f>
        <v>0</v>
      </c>
      <c r="H63" s="5">
        <f t="shared" si="0"/>
        <v>0</v>
      </c>
      <c r="I63" s="4">
        <f>'ALS 10 BAZAR'!I160</f>
        <v>6.8</v>
      </c>
      <c r="J63" s="8">
        <f t="shared" si="1"/>
        <v>0</v>
      </c>
      <c r="K63" s="89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1"/>
    </row>
    <row r="64" spans="1:27" x14ac:dyDescent="0.2">
      <c r="A64" s="7">
        <f>'ALS 10 BAZAR'!A161</f>
        <v>0</v>
      </c>
      <c r="B64" s="68" t="str">
        <f>'ALS 10 BAZAR'!B161:E161</f>
        <v>COFRE MALA VINTAGE</v>
      </c>
      <c r="C64" s="69"/>
      <c r="D64" s="69"/>
      <c r="E64" s="70"/>
      <c r="F64" s="37">
        <f>'ALS 10 BAZAR'!F161</f>
        <v>6</v>
      </c>
      <c r="G64" s="38">
        <f>'ALS 10 BAZAR'!G161</f>
        <v>0</v>
      </c>
      <c r="H64" s="5">
        <f t="shared" si="0"/>
        <v>0</v>
      </c>
      <c r="I64" s="4">
        <f>'ALS 10 BAZAR'!I161</f>
        <v>6.8</v>
      </c>
      <c r="J64" s="8">
        <f t="shared" si="1"/>
        <v>0</v>
      </c>
      <c r="K64" s="89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1"/>
    </row>
    <row r="65" spans="1:27" x14ac:dyDescent="0.2">
      <c r="A65" s="7">
        <f>'ALS 10 BAZAR'!A162</f>
        <v>0</v>
      </c>
      <c r="B65" s="68" t="str">
        <f>'ALS 10 BAZAR'!B162:E162</f>
        <v>SANTINHOS TOTEM</v>
      </c>
      <c r="C65" s="69"/>
      <c r="D65" s="69"/>
      <c r="E65" s="70"/>
      <c r="F65" s="37">
        <f>'ALS 10 BAZAR'!F162</f>
        <v>6</v>
      </c>
      <c r="G65" s="38">
        <f>'ALS 10 BAZAR'!G162</f>
        <v>60</v>
      </c>
      <c r="H65" s="5">
        <f t="shared" si="0"/>
        <v>360</v>
      </c>
      <c r="I65" s="4">
        <f>'ALS 10 BAZAR'!I162</f>
        <v>6.8</v>
      </c>
      <c r="J65" s="8">
        <f t="shared" si="1"/>
        <v>2448</v>
      </c>
      <c r="K65" s="89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1"/>
    </row>
    <row r="66" spans="1:27" x14ac:dyDescent="0.2">
      <c r="A66" s="7">
        <f>'ALS 10 BAZAR'!A163</f>
        <v>0</v>
      </c>
      <c r="B66" s="68" t="str">
        <f>'ALS 10 BAZAR'!B163:E163</f>
        <v>PORTA CALENDARIO</v>
      </c>
      <c r="C66" s="69"/>
      <c r="D66" s="69"/>
      <c r="E66" s="70"/>
      <c r="F66" s="37">
        <f>'ALS 10 BAZAR'!F163</f>
        <v>6</v>
      </c>
      <c r="G66" s="38">
        <f>'ALS 10 BAZAR'!G163</f>
        <v>60</v>
      </c>
      <c r="H66" s="5">
        <f t="shared" si="0"/>
        <v>360</v>
      </c>
      <c r="I66" s="4">
        <f>'ALS 10 BAZAR'!I163</f>
        <v>6.8</v>
      </c>
      <c r="J66" s="8">
        <f t="shared" si="1"/>
        <v>2448</v>
      </c>
      <c r="K66" s="89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1"/>
    </row>
    <row r="67" spans="1:27" x14ac:dyDescent="0.2">
      <c r="A67" s="7">
        <f>'ALS 10 BAZAR'!A164</f>
        <v>4103</v>
      </c>
      <c r="B67" s="68" t="str">
        <f>'ALS 10 BAZAR'!B164:E164</f>
        <v>CAIXA CHA 2 GAVETAS</v>
      </c>
      <c r="C67" s="69"/>
      <c r="D67" s="69"/>
      <c r="E67" s="70"/>
      <c r="F67" s="37">
        <f>'ALS 10 BAZAR'!F164</f>
        <v>6</v>
      </c>
      <c r="G67" s="38">
        <f>'ALS 10 BAZAR'!G164</f>
        <v>0</v>
      </c>
      <c r="H67" s="5">
        <f t="shared" si="0"/>
        <v>0</v>
      </c>
      <c r="I67" s="4">
        <f>'ALS 10 BAZAR'!I164</f>
        <v>6.8</v>
      </c>
      <c r="J67" s="8">
        <f t="shared" si="1"/>
        <v>0</v>
      </c>
      <c r="K67" s="89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1"/>
    </row>
    <row r="68" spans="1:27" x14ac:dyDescent="0.2">
      <c r="A68" s="7">
        <f>'ALS 10 BAZAR'!A165</f>
        <v>0</v>
      </c>
      <c r="B68" s="68">
        <f>'ALS 10 BAZAR'!B165:E165</f>
        <v>0</v>
      </c>
      <c r="C68" s="69"/>
      <c r="D68" s="69"/>
      <c r="E68" s="70"/>
      <c r="F68" s="37">
        <f>'ALS 10 BAZAR'!F165</f>
        <v>0</v>
      </c>
      <c r="G68" s="38">
        <f>'ALS 10 BAZAR'!G165</f>
        <v>0</v>
      </c>
      <c r="H68" s="5">
        <f t="shared" si="0"/>
        <v>0</v>
      </c>
      <c r="I68" s="4">
        <f>'ALS 10 BAZAR'!I165</f>
        <v>0</v>
      </c>
      <c r="J68" s="8">
        <f t="shared" si="1"/>
        <v>0</v>
      </c>
      <c r="K68" s="89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1"/>
    </row>
    <row r="69" spans="1:27" x14ac:dyDescent="0.2">
      <c r="A69" s="7">
        <f>'ALS 10 BAZAR'!A165</f>
        <v>0</v>
      </c>
      <c r="B69" s="68">
        <f>'ALS 10 BAZAR'!B165:E165</f>
        <v>0</v>
      </c>
      <c r="C69" s="69"/>
      <c r="D69" s="69"/>
      <c r="E69" s="70"/>
      <c r="F69" s="37">
        <f>'ALS 10 BAZAR'!F165</f>
        <v>0</v>
      </c>
      <c r="G69" s="38">
        <f>'ALS 10 BAZAR'!G165</f>
        <v>0</v>
      </c>
      <c r="H69" s="5">
        <f t="shared" si="0"/>
        <v>0</v>
      </c>
      <c r="I69" s="4">
        <f>'ALS 10 BAZAR'!I165</f>
        <v>0</v>
      </c>
      <c r="J69" s="8">
        <f t="shared" si="1"/>
        <v>0</v>
      </c>
      <c r="K69" s="89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1"/>
    </row>
    <row r="70" spans="1:27" x14ac:dyDescent="0.2">
      <c r="A70" s="7">
        <f>'ALS 10 BAZAR'!A166</f>
        <v>0</v>
      </c>
      <c r="B70" s="68">
        <f>'ALS 10 BAZAR'!B166:E166</f>
        <v>0</v>
      </c>
      <c r="C70" s="69"/>
      <c r="D70" s="69"/>
      <c r="E70" s="70"/>
      <c r="F70" s="37">
        <f>'ALS 10 BAZAR'!F166</f>
        <v>0</v>
      </c>
      <c r="G70" s="38">
        <f>'ALS 10 BAZAR'!G166</f>
        <v>0</v>
      </c>
      <c r="H70" s="5">
        <f t="shared" si="0"/>
        <v>0</v>
      </c>
      <c r="I70" s="4">
        <f>'ALS 10 BAZAR'!I166</f>
        <v>0</v>
      </c>
      <c r="J70" s="8">
        <f t="shared" si="1"/>
        <v>0</v>
      </c>
      <c r="K70" s="89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1"/>
    </row>
    <row r="71" spans="1:27" x14ac:dyDescent="0.2">
      <c r="A71" s="7">
        <f>'ALS 10 BAZAR'!A167</f>
        <v>0</v>
      </c>
      <c r="B71" s="68">
        <f>'ALS 10 BAZAR'!B167:E167</f>
        <v>0</v>
      </c>
      <c r="C71" s="69"/>
      <c r="D71" s="69"/>
      <c r="E71" s="70"/>
      <c r="F71" s="37">
        <f>'ALS 10 BAZAR'!F167</f>
        <v>0</v>
      </c>
      <c r="G71" s="38">
        <f>'ALS 10 BAZAR'!G167</f>
        <v>0</v>
      </c>
      <c r="H71" s="5">
        <f t="shared" si="0"/>
        <v>0</v>
      </c>
      <c r="I71" s="4">
        <f>'ALS 10 BAZAR'!I167</f>
        <v>0</v>
      </c>
      <c r="J71" s="8">
        <f t="shared" si="1"/>
        <v>0</v>
      </c>
      <c r="K71" s="89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1"/>
    </row>
    <row r="72" spans="1:27" x14ac:dyDescent="0.2">
      <c r="A72" s="97" t="s">
        <v>37</v>
      </c>
      <c r="B72" s="98"/>
      <c r="C72" s="99"/>
      <c r="D72" s="99"/>
      <c r="E72" s="100"/>
      <c r="F72" s="5"/>
      <c r="G72" s="5"/>
      <c r="H72" s="5">
        <f t="shared" si="0"/>
        <v>0</v>
      </c>
      <c r="I72" s="4"/>
      <c r="J72" s="8">
        <f t="shared" si="1"/>
        <v>0</v>
      </c>
      <c r="K72" s="89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1"/>
    </row>
    <row r="73" spans="1:27" x14ac:dyDescent="0.2">
      <c r="A73" s="97"/>
      <c r="B73" s="101"/>
      <c r="C73" s="102"/>
      <c r="D73" s="102"/>
      <c r="E73" s="103"/>
      <c r="F73" s="5"/>
      <c r="G73" s="5"/>
      <c r="H73" s="5">
        <f t="shared" ref="H73:H76" si="2">F73*G73</f>
        <v>0</v>
      </c>
      <c r="I73" s="4"/>
      <c r="J73" s="8">
        <f t="shared" si="1"/>
        <v>0</v>
      </c>
      <c r="K73" s="89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1"/>
    </row>
    <row r="74" spans="1:27" x14ac:dyDescent="0.2">
      <c r="A74" s="113" t="s">
        <v>41</v>
      </c>
      <c r="B74" s="116" t="s">
        <v>39</v>
      </c>
      <c r="C74" s="116"/>
      <c r="D74" s="116" t="s">
        <v>40</v>
      </c>
      <c r="E74" s="116"/>
      <c r="F74" s="5"/>
      <c r="G74" s="5"/>
      <c r="H74" s="5">
        <f t="shared" si="2"/>
        <v>0</v>
      </c>
      <c r="I74" s="4"/>
      <c r="J74" s="8">
        <f t="shared" si="1"/>
        <v>0</v>
      </c>
      <c r="K74" s="89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1"/>
    </row>
    <row r="75" spans="1:27" x14ac:dyDescent="0.2">
      <c r="A75" s="113"/>
      <c r="B75" s="116"/>
      <c r="C75" s="116"/>
      <c r="D75" s="116"/>
      <c r="E75" s="116"/>
      <c r="F75" s="5"/>
      <c r="G75" s="5"/>
      <c r="H75" s="5">
        <f t="shared" si="2"/>
        <v>0</v>
      </c>
      <c r="I75" s="4"/>
      <c r="J75" s="8">
        <f t="shared" si="1"/>
        <v>0</v>
      </c>
      <c r="K75" s="92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4"/>
    </row>
    <row r="76" spans="1:27" x14ac:dyDescent="0.2">
      <c r="A76" s="110" t="s">
        <v>38</v>
      </c>
      <c r="B76" s="111"/>
      <c r="C76" s="111"/>
      <c r="D76" s="111"/>
      <c r="E76" s="112"/>
      <c r="F76" s="5"/>
      <c r="G76" s="5"/>
      <c r="H76" s="5">
        <f t="shared" si="2"/>
        <v>0</v>
      </c>
      <c r="I76" s="4"/>
      <c r="J76" s="8">
        <f t="shared" si="1"/>
        <v>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2">
      <c r="A77" s="68"/>
      <c r="B77" s="69"/>
      <c r="C77" s="69"/>
      <c r="D77" s="69"/>
      <c r="E77" s="69"/>
      <c r="F77" s="70"/>
      <c r="G77" s="6">
        <f t="shared" ref="G77:H77" si="3">SUM(G9:G76)</f>
        <v>1490</v>
      </c>
      <c r="H77" s="6">
        <f t="shared" si="3"/>
        <v>10260</v>
      </c>
      <c r="I77" s="16"/>
      <c r="J77" s="83">
        <f>SUM(J9:J76)</f>
        <v>69366</v>
      </c>
      <c r="K77" s="84"/>
      <c r="L77" s="84"/>
      <c r="M77" s="85"/>
      <c r="N77" s="95" t="s">
        <v>14</v>
      </c>
      <c r="O77" s="96"/>
      <c r="P77" s="96"/>
      <c r="Q77" s="96"/>
      <c r="R77" s="108"/>
      <c r="S77" s="108"/>
      <c r="T77" s="108"/>
      <c r="U77" s="108"/>
      <c r="V77" s="108"/>
      <c r="W77" s="108"/>
      <c r="X77" s="108"/>
      <c r="Y77" s="108"/>
      <c r="Z77" s="108"/>
      <c r="AA77" s="108"/>
    </row>
    <row r="78" spans="1:27" x14ac:dyDescent="0.2">
      <c r="A78" s="80" t="s">
        <v>22</v>
      </c>
      <c r="B78" s="81"/>
      <c r="C78" s="81"/>
      <c r="D78" s="81"/>
      <c r="E78" s="81"/>
      <c r="F78" s="81"/>
      <c r="G78" s="81"/>
      <c r="H78" s="82"/>
      <c r="I78" s="15">
        <f>SUMIF(I9:I76,"&gt;0",J9:J76)/(SUMIF(I9:I76,"&gt;0",H9:H76))</f>
        <v>6.7608187134502922</v>
      </c>
      <c r="J78" s="105">
        <f>H77</f>
        <v>10260</v>
      </c>
      <c r="K78" s="106"/>
      <c r="L78" s="107"/>
      <c r="M78" s="68"/>
      <c r="N78" s="69"/>
      <c r="O78" s="69"/>
      <c r="P78" s="69"/>
      <c r="Q78" s="69"/>
      <c r="R78" s="108"/>
      <c r="S78" s="108"/>
      <c r="T78" s="108"/>
      <c r="U78" s="108"/>
      <c r="V78" s="108"/>
      <c r="W78" s="108"/>
      <c r="X78" s="108"/>
      <c r="Y78" s="108"/>
      <c r="Z78" s="108"/>
      <c r="AA78" s="108"/>
    </row>
    <row r="79" spans="1:27" x14ac:dyDescent="0.2">
      <c r="I79" s="3"/>
    </row>
    <row r="80" spans="1:27" x14ac:dyDescent="0.2">
      <c r="I80" s="3"/>
    </row>
    <row r="81" spans="9:13" x14ac:dyDescent="0.2">
      <c r="I81" s="3"/>
      <c r="J81" s="10"/>
      <c r="K81" s="11"/>
      <c r="L81" s="11"/>
      <c r="M81" s="11"/>
    </row>
    <row r="82" spans="9:13" x14ac:dyDescent="0.2">
      <c r="I82" s="3"/>
      <c r="J82" s="10"/>
      <c r="K82" s="12"/>
      <c r="L82" s="12"/>
      <c r="M82" s="12"/>
    </row>
    <row r="83" spans="9:13" x14ac:dyDescent="0.2">
      <c r="I83" s="3"/>
      <c r="J83" s="9"/>
      <c r="K83" s="11"/>
      <c r="L83" s="11"/>
      <c r="M83" s="11"/>
    </row>
    <row r="84" spans="9:13" x14ac:dyDescent="0.2">
      <c r="I84" s="3"/>
      <c r="J84" s="10"/>
      <c r="K84" s="11"/>
      <c r="L84" s="11"/>
      <c r="M84" s="11"/>
    </row>
    <row r="85" spans="9:13" x14ac:dyDescent="0.2">
      <c r="I85" s="3"/>
    </row>
    <row r="86" spans="9:13" x14ac:dyDescent="0.2">
      <c r="I86" s="3"/>
    </row>
    <row r="87" spans="9:13" x14ac:dyDescent="0.2">
      <c r="I87" s="3"/>
    </row>
    <row r="88" spans="9:13" x14ac:dyDescent="0.2">
      <c r="I88" s="3"/>
    </row>
    <row r="89" spans="9:13" x14ac:dyDescent="0.2">
      <c r="I89" s="3"/>
    </row>
    <row r="90" spans="9:13" x14ac:dyDescent="0.2">
      <c r="I90" s="3"/>
    </row>
    <row r="91" spans="9:13" x14ac:dyDescent="0.2">
      <c r="I91" s="3"/>
    </row>
    <row r="92" spans="9:13" x14ac:dyDescent="0.2">
      <c r="I92" s="3"/>
    </row>
    <row r="93" spans="9:13" x14ac:dyDescent="0.2">
      <c r="I93" s="3"/>
    </row>
    <row r="94" spans="9:13" x14ac:dyDescent="0.2">
      <c r="I94" s="3"/>
    </row>
    <row r="95" spans="9:13" x14ac:dyDescent="0.2">
      <c r="I95" s="3"/>
    </row>
    <row r="96" spans="9:13" x14ac:dyDescent="0.2">
      <c r="I96" s="3"/>
    </row>
    <row r="97" spans="9:9" x14ac:dyDescent="0.2">
      <c r="I97" s="3"/>
    </row>
    <row r="98" spans="9:9" x14ac:dyDescent="0.2">
      <c r="I98" s="3"/>
    </row>
    <row r="99" spans="9:9" x14ac:dyDescent="0.2">
      <c r="I99" s="3"/>
    </row>
    <row r="100" spans="9:9" x14ac:dyDescent="0.2">
      <c r="I100" s="3"/>
    </row>
    <row r="101" spans="9:9" x14ac:dyDescent="0.2">
      <c r="I101" s="3"/>
    </row>
    <row r="102" spans="9:9" x14ac:dyDescent="0.2">
      <c r="I102" s="3"/>
    </row>
    <row r="103" spans="9:9" x14ac:dyDescent="0.2">
      <c r="I103" s="3"/>
    </row>
    <row r="104" spans="9:9" x14ac:dyDescent="0.2">
      <c r="I104" s="3"/>
    </row>
    <row r="105" spans="9:9" x14ac:dyDescent="0.2">
      <c r="I105" s="3"/>
    </row>
    <row r="106" spans="9:9" x14ac:dyDescent="0.2">
      <c r="I106" s="3"/>
    </row>
    <row r="107" spans="9:9" x14ac:dyDescent="0.2">
      <c r="I107" s="3"/>
    </row>
    <row r="108" spans="9:9" x14ac:dyDescent="0.2">
      <c r="I108" s="3"/>
    </row>
    <row r="109" spans="9:9" x14ac:dyDescent="0.2">
      <c r="I109" s="3"/>
    </row>
    <row r="110" spans="9:9" x14ac:dyDescent="0.2">
      <c r="I110" s="3"/>
    </row>
    <row r="111" spans="9:9" x14ac:dyDescent="0.2">
      <c r="I111" s="3"/>
    </row>
    <row r="112" spans="9:9" x14ac:dyDescent="0.2">
      <c r="I112" s="3"/>
    </row>
    <row r="113" spans="9:9" x14ac:dyDescent="0.2">
      <c r="I113" s="3"/>
    </row>
    <row r="114" spans="9:9" x14ac:dyDescent="0.2">
      <c r="I114" s="3"/>
    </row>
    <row r="115" spans="9:9" x14ac:dyDescent="0.2">
      <c r="I115" s="3"/>
    </row>
    <row r="116" spans="9:9" x14ac:dyDescent="0.2">
      <c r="I116" s="3"/>
    </row>
    <row r="117" spans="9:9" x14ac:dyDescent="0.2">
      <c r="I117" s="3"/>
    </row>
    <row r="118" spans="9:9" x14ac:dyDescent="0.2">
      <c r="I118" s="3"/>
    </row>
    <row r="119" spans="9:9" x14ac:dyDescent="0.2">
      <c r="I119" s="3"/>
    </row>
    <row r="120" spans="9:9" x14ac:dyDescent="0.2">
      <c r="I120" s="3"/>
    </row>
    <row r="121" spans="9:9" x14ac:dyDescent="0.2">
      <c r="I121" s="3"/>
    </row>
    <row r="122" spans="9:9" x14ac:dyDescent="0.2">
      <c r="I122" s="3"/>
    </row>
    <row r="123" spans="9:9" x14ac:dyDescent="0.2">
      <c r="I123" s="3"/>
    </row>
    <row r="124" spans="9:9" x14ac:dyDescent="0.2">
      <c r="I124" s="3"/>
    </row>
    <row r="125" spans="9:9" x14ac:dyDescent="0.2">
      <c r="I125" s="3"/>
    </row>
    <row r="126" spans="9:9" x14ac:dyDescent="0.2">
      <c r="I126" s="3"/>
    </row>
    <row r="127" spans="9:9" x14ac:dyDescent="0.2">
      <c r="I127" s="3"/>
    </row>
    <row r="128" spans="9:9" x14ac:dyDescent="0.2">
      <c r="I128" s="3"/>
    </row>
    <row r="129" spans="9:9" x14ac:dyDescent="0.2">
      <c r="I129" s="3"/>
    </row>
    <row r="130" spans="9:9" x14ac:dyDescent="0.2">
      <c r="I130" s="3"/>
    </row>
    <row r="131" spans="9:9" x14ac:dyDescent="0.2">
      <c r="I131" s="3"/>
    </row>
    <row r="132" spans="9:9" x14ac:dyDescent="0.2">
      <c r="I132" s="3"/>
    </row>
    <row r="133" spans="9:9" x14ac:dyDescent="0.2">
      <c r="I133" s="3"/>
    </row>
    <row r="134" spans="9:9" x14ac:dyDescent="0.2">
      <c r="I134" s="3"/>
    </row>
    <row r="135" spans="9:9" x14ac:dyDescent="0.2">
      <c r="I135" s="3"/>
    </row>
    <row r="136" spans="9:9" x14ac:dyDescent="0.2">
      <c r="I136" s="3"/>
    </row>
    <row r="137" spans="9:9" x14ac:dyDescent="0.2">
      <c r="I137" s="3"/>
    </row>
    <row r="138" spans="9:9" x14ac:dyDescent="0.2">
      <c r="I138" s="3"/>
    </row>
    <row r="139" spans="9:9" x14ac:dyDescent="0.2">
      <c r="I139" s="3"/>
    </row>
    <row r="140" spans="9:9" x14ac:dyDescent="0.2">
      <c r="I140" s="3"/>
    </row>
    <row r="141" spans="9:9" x14ac:dyDescent="0.2">
      <c r="I141" s="3"/>
    </row>
    <row r="142" spans="9:9" x14ac:dyDescent="0.2">
      <c r="I142" s="3"/>
    </row>
    <row r="143" spans="9:9" x14ac:dyDescent="0.2">
      <c r="I143" s="3"/>
    </row>
    <row r="144" spans="9:9" x14ac:dyDescent="0.2">
      <c r="I144" s="3"/>
    </row>
    <row r="145" spans="9:9" x14ac:dyDescent="0.2">
      <c r="I145" s="3"/>
    </row>
    <row r="146" spans="9:9" x14ac:dyDescent="0.2">
      <c r="I146" s="3"/>
    </row>
    <row r="147" spans="9:9" x14ac:dyDescent="0.2">
      <c r="I147" s="3"/>
    </row>
    <row r="148" spans="9:9" x14ac:dyDescent="0.2">
      <c r="I148" s="3"/>
    </row>
    <row r="149" spans="9:9" x14ac:dyDescent="0.2">
      <c r="I149" s="3"/>
    </row>
    <row r="150" spans="9:9" x14ac:dyDescent="0.2">
      <c r="I150" s="3"/>
    </row>
    <row r="151" spans="9:9" x14ac:dyDescent="0.2">
      <c r="I151" s="3"/>
    </row>
    <row r="152" spans="9:9" x14ac:dyDescent="0.2">
      <c r="I152" s="3"/>
    </row>
    <row r="153" spans="9:9" x14ac:dyDescent="0.2">
      <c r="I153" s="3"/>
    </row>
    <row r="154" spans="9:9" x14ac:dyDescent="0.2">
      <c r="I154" s="3"/>
    </row>
    <row r="155" spans="9:9" x14ac:dyDescent="0.2">
      <c r="I155" s="3"/>
    </row>
    <row r="156" spans="9:9" x14ac:dyDescent="0.2">
      <c r="I156" s="3"/>
    </row>
    <row r="157" spans="9:9" x14ac:dyDescent="0.2">
      <c r="I157" s="3"/>
    </row>
    <row r="158" spans="9:9" x14ac:dyDescent="0.2">
      <c r="I158" s="3"/>
    </row>
    <row r="159" spans="9:9" x14ac:dyDescent="0.2">
      <c r="I159" s="3"/>
    </row>
    <row r="160" spans="9:9" x14ac:dyDescent="0.2">
      <c r="I160" s="3"/>
    </row>
    <row r="161" spans="9:9" x14ac:dyDescent="0.2">
      <c r="I161" s="3"/>
    </row>
    <row r="162" spans="9:9" x14ac:dyDescent="0.2">
      <c r="I162" s="3"/>
    </row>
    <row r="163" spans="9:9" x14ac:dyDescent="0.2">
      <c r="I163" s="3"/>
    </row>
    <row r="164" spans="9:9" x14ac:dyDescent="0.2">
      <c r="I164" s="3"/>
    </row>
    <row r="165" spans="9:9" x14ac:dyDescent="0.2">
      <c r="I165" s="3"/>
    </row>
    <row r="166" spans="9:9" x14ac:dyDescent="0.2">
      <c r="I166" s="3"/>
    </row>
    <row r="167" spans="9:9" x14ac:dyDescent="0.2">
      <c r="I167" s="3"/>
    </row>
    <row r="168" spans="9:9" x14ac:dyDescent="0.2">
      <c r="I168" s="3"/>
    </row>
    <row r="169" spans="9:9" x14ac:dyDescent="0.2">
      <c r="I169" s="3"/>
    </row>
    <row r="170" spans="9:9" x14ac:dyDescent="0.2">
      <c r="I170" s="3"/>
    </row>
    <row r="171" spans="9:9" x14ac:dyDescent="0.2">
      <c r="I171" s="3"/>
    </row>
    <row r="172" spans="9:9" x14ac:dyDescent="0.2">
      <c r="I172" s="3"/>
    </row>
    <row r="173" spans="9:9" x14ac:dyDescent="0.2">
      <c r="I173" s="3"/>
    </row>
    <row r="174" spans="9:9" x14ac:dyDescent="0.2">
      <c r="I174" s="3"/>
    </row>
    <row r="175" spans="9:9" x14ac:dyDescent="0.2">
      <c r="I175" s="3"/>
    </row>
    <row r="176" spans="9:9" x14ac:dyDescent="0.2">
      <c r="I176" s="3"/>
    </row>
    <row r="177" spans="9:9" x14ac:dyDescent="0.2">
      <c r="I177" s="3"/>
    </row>
    <row r="178" spans="9:9" x14ac:dyDescent="0.2">
      <c r="I178" s="3"/>
    </row>
    <row r="179" spans="9:9" x14ac:dyDescent="0.2">
      <c r="I179" s="3"/>
    </row>
    <row r="180" spans="9:9" x14ac:dyDescent="0.2">
      <c r="I180" s="3"/>
    </row>
    <row r="181" spans="9:9" x14ac:dyDescent="0.2">
      <c r="I181" s="3"/>
    </row>
    <row r="182" spans="9:9" x14ac:dyDescent="0.2">
      <c r="I182" s="3"/>
    </row>
    <row r="183" spans="9:9" x14ac:dyDescent="0.2">
      <c r="I183" s="3"/>
    </row>
    <row r="184" spans="9:9" x14ac:dyDescent="0.2">
      <c r="I184" s="3"/>
    </row>
    <row r="185" spans="9:9" x14ac:dyDescent="0.2">
      <c r="I185" s="3"/>
    </row>
    <row r="186" spans="9:9" x14ac:dyDescent="0.2">
      <c r="I186" s="3"/>
    </row>
    <row r="187" spans="9:9" x14ac:dyDescent="0.2">
      <c r="I187" s="3"/>
    </row>
    <row r="188" spans="9:9" x14ac:dyDescent="0.2">
      <c r="I188" s="3"/>
    </row>
    <row r="189" spans="9:9" x14ac:dyDescent="0.2">
      <c r="I189" s="3"/>
    </row>
    <row r="190" spans="9:9" x14ac:dyDescent="0.2">
      <c r="I190" s="3"/>
    </row>
    <row r="191" spans="9:9" x14ac:dyDescent="0.2">
      <c r="I191" s="3"/>
    </row>
    <row r="192" spans="9:9" x14ac:dyDescent="0.2">
      <c r="I192" s="3"/>
    </row>
    <row r="193" spans="9:9" x14ac:dyDescent="0.2">
      <c r="I193" s="3"/>
    </row>
    <row r="194" spans="9:9" x14ac:dyDescent="0.2">
      <c r="I194" s="3"/>
    </row>
    <row r="195" spans="9:9" x14ac:dyDescent="0.2">
      <c r="I195" s="3"/>
    </row>
    <row r="196" spans="9:9" x14ac:dyDescent="0.2">
      <c r="I196" s="3"/>
    </row>
    <row r="197" spans="9:9" x14ac:dyDescent="0.2">
      <c r="I197" s="3"/>
    </row>
    <row r="198" spans="9:9" x14ac:dyDescent="0.2">
      <c r="I198" s="3"/>
    </row>
    <row r="199" spans="9:9" x14ac:dyDescent="0.2">
      <c r="I199" s="3"/>
    </row>
    <row r="200" spans="9:9" x14ac:dyDescent="0.2">
      <c r="I200" s="3"/>
    </row>
    <row r="201" spans="9:9" x14ac:dyDescent="0.2">
      <c r="I201" s="3"/>
    </row>
    <row r="202" spans="9:9" x14ac:dyDescent="0.2">
      <c r="I202" s="3"/>
    </row>
    <row r="203" spans="9:9" x14ac:dyDescent="0.2">
      <c r="I203" s="3"/>
    </row>
    <row r="204" spans="9:9" x14ac:dyDescent="0.2">
      <c r="I204" s="3"/>
    </row>
    <row r="205" spans="9:9" x14ac:dyDescent="0.2">
      <c r="I205" s="3"/>
    </row>
    <row r="206" spans="9:9" x14ac:dyDescent="0.2">
      <c r="I206" s="3"/>
    </row>
    <row r="207" spans="9:9" x14ac:dyDescent="0.2">
      <c r="I207" s="3"/>
    </row>
    <row r="208" spans="9:9" x14ac:dyDescent="0.2">
      <c r="I208" s="3"/>
    </row>
    <row r="209" spans="9:9" x14ac:dyDescent="0.2">
      <c r="I209" s="3"/>
    </row>
    <row r="210" spans="9:9" x14ac:dyDescent="0.2">
      <c r="I210" s="3"/>
    </row>
    <row r="211" spans="9:9" x14ac:dyDescent="0.2">
      <c r="I211" s="3"/>
    </row>
    <row r="212" spans="9:9" x14ac:dyDescent="0.2">
      <c r="I212" s="3"/>
    </row>
    <row r="213" spans="9:9" x14ac:dyDescent="0.2">
      <c r="I213" s="3"/>
    </row>
    <row r="214" spans="9:9" x14ac:dyDescent="0.2">
      <c r="I214" s="3"/>
    </row>
    <row r="215" spans="9:9" x14ac:dyDescent="0.2">
      <c r="I215" s="3"/>
    </row>
    <row r="216" spans="9:9" x14ac:dyDescent="0.2">
      <c r="I216" s="3"/>
    </row>
    <row r="217" spans="9:9" x14ac:dyDescent="0.2">
      <c r="I217" s="3"/>
    </row>
    <row r="218" spans="9:9" x14ac:dyDescent="0.2">
      <c r="I218" s="3"/>
    </row>
    <row r="219" spans="9:9" x14ac:dyDescent="0.2">
      <c r="I219" s="3"/>
    </row>
    <row r="220" spans="9:9" x14ac:dyDescent="0.2">
      <c r="I220" s="3"/>
    </row>
    <row r="221" spans="9:9" x14ac:dyDescent="0.2">
      <c r="I221" s="3"/>
    </row>
    <row r="222" spans="9:9" x14ac:dyDescent="0.2">
      <c r="I222" s="3"/>
    </row>
    <row r="223" spans="9:9" x14ac:dyDescent="0.2">
      <c r="I223" s="3"/>
    </row>
    <row r="224" spans="9:9" x14ac:dyDescent="0.2">
      <c r="I224" s="3"/>
    </row>
    <row r="225" spans="9:9" x14ac:dyDescent="0.2">
      <c r="I225" s="3"/>
    </row>
    <row r="226" spans="9:9" x14ac:dyDescent="0.2">
      <c r="I226" s="3"/>
    </row>
    <row r="227" spans="9:9" x14ac:dyDescent="0.2">
      <c r="I227" s="3"/>
    </row>
    <row r="228" spans="9:9" x14ac:dyDescent="0.2">
      <c r="I228" s="3"/>
    </row>
    <row r="229" spans="9:9" x14ac:dyDescent="0.2">
      <c r="I229" s="3"/>
    </row>
    <row r="230" spans="9:9" x14ac:dyDescent="0.2">
      <c r="I230" s="3"/>
    </row>
    <row r="231" spans="9:9" x14ac:dyDescent="0.2">
      <c r="I231" s="3"/>
    </row>
    <row r="232" spans="9:9" x14ac:dyDescent="0.2">
      <c r="I232" s="3"/>
    </row>
    <row r="233" spans="9:9" x14ac:dyDescent="0.2">
      <c r="I233" s="3"/>
    </row>
    <row r="234" spans="9:9" x14ac:dyDescent="0.2">
      <c r="I234" s="3"/>
    </row>
    <row r="235" spans="9:9" x14ac:dyDescent="0.2">
      <c r="I235" s="3"/>
    </row>
    <row r="236" spans="9:9" x14ac:dyDescent="0.2">
      <c r="I236" s="3"/>
    </row>
    <row r="237" spans="9:9" x14ac:dyDescent="0.2">
      <c r="I237" s="3"/>
    </row>
    <row r="238" spans="9:9" x14ac:dyDescent="0.2">
      <c r="I238" s="3"/>
    </row>
    <row r="239" spans="9:9" x14ac:dyDescent="0.2">
      <c r="I239" s="3"/>
    </row>
    <row r="240" spans="9:9" x14ac:dyDescent="0.2">
      <c r="I240" s="3"/>
    </row>
    <row r="241" spans="9:9" x14ac:dyDescent="0.2">
      <c r="I241" s="3"/>
    </row>
    <row r="242" spans="9:9" x14ac:dyDescent="0.2">
      <c r="I242" s="3"/>
    </row>
    <row r="243" spans="9:9" x14ac:dyDescent="0.2">
      <c r="I243" s="3"/>
    </row>
    <row r="244" spans="9:9" x14ac:dyDescent="0.2">
      <c r="I244" s="3"/>
    </row>
    <row r="245" spans="9:9" x14ac:dyDescent="0.2">
      <c r="I245" s="3"/>
    </row>
    <row r="246" spans="9:9" x14ac:dyDescent="0.2">
      <c r="I246" s="3"/>
    </row>
    <row r="247" spans="9:9" x14ac:dyDescent="0.2">
      <c r="I247" s="3"/>
    </row>
    <row r="248" spans="9:9" x14ac:dyDescent="0.2">
      <c r="I248" s="3"/>
    </row>
    <row r="249" spans="9:9" x14ac:dyDescent="0.2">
      <c r="I249" s="3"/>
    </row>
    <row r="250" spans="9:9" x14ac:dyDescent="0.2">
      <c r="I250" s="3"/>
    </row>
    <row r="251" spans="9:9" x14ac:dyDescent="0.2">
      <c r="I251" s="3"/>
    </row>
    <row r="252" spans="9:9" x14ac:dyDescent="0.2">
      <c r="I252" s="3"/>
    </row>
    <row r="253" spans="9:9" x14ac:dyDescent="0.2">
      <c r="I253" s="3"/>
    </row>
    <row r="254" spans="9:9" x14ac:dyDescent="0.2">
      <c r="I254" s="3"/>
    </row>
    <row r="255" spans="9:9" x14ac:dyDescent="0.2">
      <c r="I255" s="3"/>
    </row>
    <row r="256" spans="9:9" x14ac:dyDescent="0.2">
      <c r="I256" s="3"/>
    </row>
    <row r="257" spans="9:9" x14ac:dyDescent="0.2">
      <c r="I257" s="3"/>
    </row>
    <row r="258" spans="9:9" x14ac:dyDescent="0.2">
      <c r="I258" s="3"/>
    </row>
    <row r="259" spans="9:9" x14ac:dyDescent="0.2">
      <c r="I259" s="3"/>
    </row>
    <row r="260" spans="9:9" x14ac:dyDescent="0.2">
      <c r="I260" s="3"/>
    </row>
    <row r="261" spans="9:9" x14ac:dyDescent="0.2">
      <c r="I261" s="3"/>
    </row>
    <row r="262" spans="9:9" x14ac:dyDescent="0.2">
      <c r="I262" s="3"/>
    </row>
    <row r="263" spans="9:9" x14ac:dyDescent="0.2">
      <c r="I263" s="3"/>
    </row>
    <row r="264" spans="9:9" x14ac:dyDescent="0.2">
      <c r="I264" s="3"/>
    </row>
    <row r="265" spans="9:9" x14ac:dyDescent="0.2">
      <c r="I265" s="3"/>
    </row>
    <row r="266" spans="9:9" x14ac:dyDescent="0.2">
      <c r="I266" s="3"/>
    </row>
    <row r="267" spans="9:9" x14ac:dyDescent="0.2">
      <c r="I267" s="3"/>
    </row>
    <row r="268" spans="9:9" x14ac:dyDescent="0.2">
      <c r="I268" s="3"/>
    </row>
    <row r="269" spans="9:9" x14ac:dyDescent="0.2">
      <c r="I269" s="3"/>
    </row>
    <row r="270" spans="9:9" x14ac:dyDescent="0.2">
      <c r="I270" s="3"/>
    </row>
    <row r="271" spans="9:9" x14ac:dyDescent="0.2">
      <c r="I271" s="3"/>
    </row>
    <row r="272" spans="9:9" x14ac:dyDescent="0.2">
      <c r="I272" s="3"/>
    </row>
    <row r="273" spans="9:9" x14ac:dyDescent="0.2">
      <c r="I273" s="3"/>
    </row>
    <row r="274" spans="9:9" x14ac:dyDescent="0.2">
      <c r="I274" s="3"/>
    </row>
    <row r="275" spans="9:9" x14ac:dyDescent="0.2">
      <c r="I275" s="3"/>
    </row>
    <row r="276" spans="9:9" x14ac:dyDescent="0.2">
      <c r="I276" s="3"/>
    </row>
    <row r="277" spans="9:9" x14ac:dyDescent="0.2">
      <c r="I277" s="3"/>
    </row>
    <row r="278" spans="9:9" x14ac:dyDescent="0.2">
      <c r="I278" s="3"/>
    </row>
    <row r="279" spans="9:9" x14ac:dyDescent="0.2">
      <c r="I279" s="3"/>
    </row>
    <row r="280" spans="9:9" x14ac:dyDescent="0.2">
      <c r="I280" s="3"/>
    </row>
    <row r="281" spans="9:9" x14ac:dyDescent="0.2">
      <c r="I281" s="3"/>
    </row>
    <row r="282" spans="9:9" x14ac:dyDescent="0.2">
      <c r="I282" s="3"/>
    </row>
    <row r="283" spans="9:9" x14ac:dyDescent="0.2">
      <c r="I283" s="3"/>
    </row>
    <row r="284" spans="9:9" x14ac:dyDescent="0.2">
      <c r="I284" s="3"/>
    </row>
    <row r="285" spans="9:9" x14ac:dyDescent="0.2">
      <c r="I285" s="3"/>
    </row>
    <row r="286" spans="9:9" x14ac:dyDescent="0.2">
      <c r="I286" s="3"/>
    </row>
    <row r="287" spans="9:9" x14ac:dyDescent="0.2">
      <c r="I287" s="3"/>
    </row>
    <row r="288" spans="9:9" x14ac:dyDescent="0.2">
      <c r="I288" s="3"/>
    </row>
    <row r="289" spans="9:9" x14ac:dyDescent="0.2">
      <c r="I289" s="3"/>
    </row>
    <row r="290" spans="9:9" x14ac:dyDescent="0.2">
      <c r="I290" s="3"/>
    </row>
    <row r="291" spans="9:9" x14ac:dyDescent="0.2">
      <c r="I291" s="3"/>
    </row>
    <row r="292" spans="9:9" x14ac:dyDescent="0.2">
      <c r="I292" s="3"/>
    </row>
    <row r="293" spans="9:9" x14ac:dyDescent="0.2">
      <c r="I293" s="3"/>
    </row>
    <row r="294" spans="9:9" x14ac:dyDescent="0.2">
      <c r="I294" s="3"/>
    </row>
    <row r="295" spans="9:9" x14ac:dyDescent="0.2">
      <c r="I295" s="3"/>
    </row>
    <row r="296" spans="9:9" x14ac:dyDescent="0.2">
      <c r="I296" s="3"/>
    </row>
    <row r="297" spans="9:9" x14ac:dyDescent="0.2">
      <c r="I297" s="3"/>
    </row>
    <row r="298" spans="9:9" x14ac:dyDescent="0.2">
      <c r="I298" s="3"/>
    </row>
    <row r="299" spans="9:9" x14ac:dyDescent="0.2">
      <c r="I299" s="3"/>
    </row>
    <row r="300" spans="9:9" x14ac:dyDescent="0.2">
      <c r="I300" s="3"/>
    </row>
    <row r="301" spans="9:9" x14ac:dyDescent="0.2">
      <c r="I301" s="3"/>
    </row>
    <row r="302" spans="9:9" x14ac:dyDescent="0.2">
      <c r="I302" s="3"/>
    </row>
    <row r="303" spans="9:9" x14ac:dyDescent="0.2">
      <c r="I303" s="3"/>
    </row>
    <row r="304" spans="9:9" x14ac:dyDescent="0.2">
      <c r="I304" s="3"/>
    </row>
    <row r="305" spans="9:9" x14ac:dyDescent="0.2">
      <c r="I305" s="3"/>
    </row>
    <row r="306" spans="9:9" x14ac:dyDescent="0.2">
      <c r="I306" s="3"/>
    </row>
    <row r="307" spans="9:9" x14ac:dyDescent="0.2">
      <c r="I307" s="3"/>
    </row>
    <row r="308" spans="9:9" x14ac:dyDescent="0.2">
      <c r="I308" s="3"/>
    </row>
    <row r="309" spans="9:9" x14ac:dyDescent="0.2">
      <c r="I309" s="3"/>
    </row>
    <row r="310" spans="9:9" x14ac:dyDescent="0.2">
      <c r="I310" s="3"/>
    </row>
    <row r="311" spans="9:9" x14ac:dyDescent="0.2">
      <c r="I311" s="3"/>
    </row>
    <row r="312" spans="9:9" x14ac:dyDescent="0.2">
      <c r="I312" s="3"/>
    </row>
    <row r="313" spans="9:9" x14ac:dyDescent="0.2">
      <c r="I313" s="3"/>
    </row>
    <row r="314" spans="9:9" x14ac:dyDescent="0.2">
      <c r="I314" s="3"/>
    </row>
    <row r="315" spans="9:9" x14ac:dyDescent="0.2">
      <c r="I315" s="3"/>
    </row>
    <row r="316" spans="9:9" x14ac:dyDescent="0.2">
      <c r="I316" s="3"/>
    </row>
    <row r="317" spans="9:9" x14ac:dyDescent="0.2">
      <c r="I317" s="3"/>
    </row>
    <row r="318" spans="9:9" x14ac:dyDescent="0.2">
      <c r="I318" s="3"/>
    </row>
    <row r="319" spans="9:9" x14ac:dyDescent="0.2">
      <c r="I319" s="3"/>
    </row>
    <row r="320" spans="9:9" x14ac:dyDescent="0.2">
      <c r="I320" s="3"/>
    </row>
    <row r="321" spans="9:9" x14ac:dyDescent="0.2">
      <c r="I321" s="3"/>
    </row>
    <row r="322" spans="9:9" x14ac:dyDescent="0.2">
      <c r="I322" s="3"/>
    </row>
    <row r="323" spans="9:9" x14ac:dyDescent="0.2">
      <c r="I323" s="3"/>
    </row>
    <row r="324" spans="9:9" x14ac:dyDescent="0.2">
      <c r="I324" s="3"/>
    </row>
    <row r="325" spans="9:9" x14ac:dyDescent="0.2">
      <c r="I325" s="3"/>
    </row>
    <row r="326" spans="9:9" x14ac:dyDescent="0.2">
      <c r="I326" s="3"/>
    </row>
    <row r="327" spans="9:9" x14ac:dyDescent="0.2">
      <c r="I327" s="3"/>
    </row>
    <row r="328" spans="9:9" x14ac:dyDescent="0.2">
      <c r="I328" s="3"/>
    </row>
    <row r="329" spans="9:9" x14ac:dyDescent="0.2">
      <c r="I329" s="3"/>
    </row>
    <row r="330" spans="9:9" x14ac:dyDescent="0.2">
      <c r="I330" s="3"/>
    </row>
    <row r="331" spans="9:9" x14ac:dyDescent="0.2">
      <c r="I331" s="3"/>
    </row>
    <row r="332" spans="9:9" x14ac:dyDescent="0.2">
      <c r="I332" s="3"/>
    </row>
    <row r="333" spans="9:9" x14ac:dyDescent="0.2">
      <c r="I333" s="3"/>
    </row>
    <row r="334" spans="9:9" x14ac:dyDescent="0.2">
      <c r="I334" s="3"/>
    </row>
    <row r="335" spans="9:9" x14ac:dyDescent="0.2">
      <c r="I335" s="3"/>
    </row>
    <row r="336" spans="9:9" x14ac:dyDescent="0.2">
      <c r="I336" s="3"/>
    </row>
    <row r="337" spans="9:9" x14ac:dyDescent="0.2">
      <c r="I337" s="3"/>
    </row>
    <row r="338" spans="9:9" x14ac:dyDescent="0.2">
      <c r="I338" s="3"/>
    </row>
    <row r="339" spans="9:9" x14ac:dyDescent="0.2">
      <c r="I339" s="3"/>
    </row>
    <row r="340" spans="9:9" x14ac:dyDescent="0.2">
      <c r="I340" s="3"/>
    </row>
    <row r="341" spans="9:9" x14ac:dyDescent="0.2">
      <c r="I341" s="3"/>
    </row>
    <row r="342" spans="9:9" x14ac:dyDescent="0.2">
      <c r="I342" s="3"/>
    </row>
    <row r="343" spans="9:9" x14ac:dyDescent="0.2">
      <c r="I343" s="3"/>
    </row>
    <row r="344" spans="9:9" x14ac:dyDescent="0.2">
      <c r="I344" s="3"/>
    </row>
    <row r="345" spans="9:9" x14ac:dyDescent="0.2">
      <c r="I345" s="3"/>
    </row>
    <row r="346" spans="9:9" x14ac:dyDescent="0.2">
      <c r="I346" s="3"/>
    </row>
    <row r="347" spans="9:9" x14ac:dyDescent="0.2">
      <c r="I347" s="3"/>
    </row>
    <row r="348" spans="9:9" x14ac:dyDescent="0.2">
      <c r="I348" s="3"/>
    </row>
    <row r="349" spans="9:9" x14ac:dyDescent="0.2">
      <c r="I349" s="3"/>
    </row>
    <row r="350" spans="9:9" x14ac:dyDescent="0.2">
      <c r="I350" s="3"/>
    </row>
    <row r="351" spans="9:9" x14ac:dyDescent="0.2">
      <c r="I351" s="3"/>
    </row>
    <row r="352" spans="9:9" x14ac:dyDescent="0.2">
      <c r="I352" s="3"/>
    </row>
    <row r="353" spans="9:9" x14ac:dyDescent="0.2">
      <c r="I353" s="3"/>
    </row>
    <row r="354" spans="9:9" x14ac:dyDescent="0.2">
      <c r="I354" s="3"/>
    </row>
    <row r="355" spans="9:9" x14ac:dyDescent="0.2">
      <c r="I355" s="3"/>
    </row>
    <row r="356" spans="9:9" x14ac:dyDescent="0.2">
      <c r="I356" s="3"/>
    </row>
    <row r="357" spans="9:9" x14ac:dyDescent="0.2">
      <c r="I357" s="3"/>
    </row>
    <row r="358" spans="9:9" x14ac:dyDescent="0.2">
      <c r="I358" s="3"/>
    </row>
    <row r="359" spans="9:9" x14ac:dyDescent="0.2">
      <c r="I359" s="3"/>
    </row>
    <row r="360" spans="9:9" x14ac:dyDescent="0.2">
      <c r="I360" s="3"/>
    </row>
    <row r="361" spans="9:9" x14ac:dyDescent="0.2">
      <c r="I361" s="3"/>
    </row>
    <row r="362" spans="9:9" x14ac:dyDescent="0.2">
      <c r="I362" s="3"/>
    </row>
    <row r="363" spans="9:9" x14ac:dyDescent="0.2">
      <c r="I363" s="3"/>
    </row>
    <row r="364" spans="9:9" x14ac:dyDescent="0.2">
      <c r="I364" s="3"/>
    </row>
    <row r="365" spans="9:9" x14ac:dyDescent="0.2">
      <c r="I365" s="3"/>
    </row>
    <row r="366" spans="9:9" x14ac:dyDescent="0.2">
      <c r="I366" s="3"/>
    </row>
    <row r="367" spans="9:9" x14ac:dyDescent="0.2">
      <c r="I367" s="3"/>
    </row>
    <row r="368" spans="9:9" x14ac:dyDescent="0.2">
      <c r="I368" s="3"/>
    </row>
    <row r="369" spans="9:9" x14ac:dyDescent="0.2">
      <c r="I369" s="3"/>
    </row>
    <row r="370" spans="9:9" x14ac:dyDescent="0.2">
      <c r="I370" s="3"/>
    </row>
    <row r="371" spans="9:9" x14ac:dyDescent="0.2">
      <c r="I371" s="3"/>
    </row>
    <row r="372" spans="9:9" x14ac:dyDescent="0.2">
      <c r="I372" s="3"/>
    </row>
    <row r="373" spans="9:9" x14ac:dyDescent="0.2">
      <c r="I373" s="3"/>
    </row>
    <row r="374" spans="9:9" x14ac:dyDescent="0.2">
      <c r="I374" s="3"/>
    </row>
    <row r="375" spans="9:9" x14ac:dyDescent="0.2">
      <c r="I375" s="3"/>
    </row>
    <row r="376" spans="9:9" x14ac:dyDescent="0.2">
      <c r="I376" s="3"/>
    </row>
    <row r="377" spans="9:9" x14ac:dyDescent="0.2">
      <c r="I377" s="3"/>
    </row>
    <row r="378" spans="9:9" x14ac:dyDescent="0.2">
      <c r="I378" s="3"/>
    </row>
    <row r="379" spans="9:9" x14ac:dyDescent="0.2">
      <c r="I379" s="3"/>
    </row>
    <row r="380" spans="9:9" x14ac:dyDescent="0.2">
      <c r="I380" s="3"/>
    </row>
    <row r="381" spans="9:9" x14ac:dyDescent="0.2">
      <c r="I381" s="3"/>
    </row>
    <row r="382" spans="9:9" x14ac:dyDescent="0.2">
      <c r="I382" s="3"/>
    </row>
    <row r="383" spans="9:9" x14ac:dyDescent="0.2">
      <c r="I383" s="3"/>
    </row>
    <row r="384" spans="9:9" x14ac:dyDescent="0.2">
      <c r="I384" s="3"/>
    </row>
    <row r="385" spans="9:9" x14ac:dyDescent="0.2">
      <c r="I385" s="3"/>
    </row>
    <row r="386" spans="9:9" x14ac:dyDescent="0.2">
      <c r="I386" s="3"/>
    </row>
    <row r="387" spans="9:9" x14ac:dyDescent="0.2">
      <c r="I387" s="3"/>
    </row>
    <row r="388" spans="9:9" x14ac:dyDescent="0.2">
      <c r="I388" s="3"/>
    </row>
    <row r="389" spans="9:9" x14ac:dyDescent="0.2">
      <c r="I389" s="3"/>
    </row>
    <row r="390" spans="9:9" x14ac:dyDescent="0.2">
      <c r="I390" s="3"/>
    </row>
    <row r="391" spans="9:9" x14ac:dyDescent="0.2">
      <c r="I391" s="3"/>
    </row>
    <row r="392" spans="9:9" x14ac:dyDescent="0.2">
      <c r="I392" s="3"/>
    </row>
    <row r="393" spans="9:9" x14ac:dyDescent="0.2">
      <c r="I393" s="3"/>
    </row>
    <row r="394" spans="9:9" x14ac:dyDescent="0.2">
      <c r="I394" s="3"/>
    </row>
    <row r="395" spans="9:9" x14ac:dyDescent="0.2">
      <c r="I395" s="3"/>
    </row>
    <row r="396" spans="9:9" x14ac:dyDescent="0.2">
      <c r="I396" s="3"/>
    </row>
    <row r="397" spans="9:9" x14ac:dyDescent="0.2">
      <c r="I397" s="3"/>
    </row>
    <row r="398" spans="9:9" x14ac:dyDescent="0.2">
      <c r="I398" s="3"/>
    </row>
    <row r="399" spans="9:9" x14ac:dyDescent="0.2">
      <c r="I399" s="3"/>
    </row>
    <row r="400" spans="9:9" x14ac:dyDescent="0.2">
      <c r="I400" s="3"/>
    </row>
    <row r="401" spans="9:9" x14ac:dyDescent="0.2">
      <c r="I401" s="3"/>
    </row>
    <row r="402" spans="9:9" x14ac:dyDescent="0.2">
      <c r="I402" s="3"/>
    </row>
    <row r="403" spans="9:9" x14ac:dyDescent="0.2">
      <c r="I403" s="3"/>
    </row>
    <row r="404" spans="9:9" x14ac:dyDescent="0.2">
      <c r="I404" s="3"/>
    </row>
    <row r="405" spans="9:9" x14ac:dyDescent="0.2">
      <c r="I405" s="3"/>
    </row>
    <row r="406" spans="9:9" x14ac:dyDescent="0.2">
      <c r="I406" s="3"/>
    </row>
    <row r="407" spans="9:9" x14ac:dyDescent="0.2">
      <c r="I407" s="3"/>
    </row>
    <row r="408" spans="9:9" x14ac:dyDescent="0.2">
      <c r="I408" s="3"/>
    </row>
    <row r="409" spans="9:9" x14ac:dyDescent="0.2">
      <c r="I409" s="3"/>
    </row>
    <row r="410" spans="9:9" x14ac:dyDescent="0.2">
      <c r="I410" s="3"/>
    </row>
    <row r="411" spans="9:9" x14ac:dyDescent="0.2">
      <c r="I411" s="3"/>
    </row>
    <row r="412" spans="9:9" x14ac:dyDescent="0.2">
      <c r="I412" s="3"/>
    </row>
    <row r="413" spans="9:9" x14ac:dyDescent="0.2">
      <c r="I413" s="3"/>
    </row>
    <row r="414" spans="9:9" x14ac:dyDescent="0.2">
      <c r="I414" s="3"/>
    </row>
    <row r="415" spans="9:9" x14ac:dyDescent="0.2">
      <c r="I415" s="3"/>
    </row>
    <row r="416" spans="9:9" x14ac:dyDescent="0.2">
      <c r="I416" s="3"/>
    </row>
    <row r="417" spans="9:9" x14ac:dyDescent="0.2">
      <c r="I417" s="3"/>
    </row>
    <row r="418" spans="9:9" x14ac:dyDescent="0.2">
      <c r="I418" s="3"/>
    </row>
    <row r="419" spans="9:9" x14ac:dyDescent="0.2">
      <c r="I419" s="3"/>
    </row>
    <row r="420" spans="9:9" x14ac:dyDescent="0.2">
      <c r="I420" s="3"/>
    </row>
    <row r="421" spans="9:9" x14ac:dyDescent="0.2">
      <c r="I421" s="3"/>
    </row>
    <row r="422" spans="9:9" x14ac:dyDescent="0.2">
      <c r="I422" s="3"/>
    </row>
    <row r="423" spans="9:9" x14ac:dyDescent="0.2">
      <c r="I423" s="3"/>
    </row>
    <row r="424" spans="9:9" x14ac:dyDescent="0.2">
      <c r="I424" s="3"/>
    </row>
    <row r="425" spans="9:9" x14ac:dyDescent="0.2">
      <c r="I425" s="3"/>
    </row>
    <row r="426" spans="9:9" x14ac:dyDescent="0.2">
      <c r="I426" s="3"/>
    </row>
    <row r="427" spans="9:9" x14ac:dyDescent="0.2">
      <c r="I427" s="3"/>
    </row>
    <row r="428" spans="9:9" x14ac:dyDescent="0.2">
      <c r="I428" s="3"/>
    </row>
    <row r="429" spans="9:9" x14ac:dyDescent="0.2">
      <c r="I429" s="3"/>
    </row>
    <row r="430" spans="9:9" x14ac:dyDescent="0.2">
      <c r="I430" s="3"/>
    </row>
    <row r="431" spans="9:9" x14ac:dyDescent="0.2">
      <c r="I431" s="3"/>
    </row>
    <row r="432" spans="9:9" x14ac:dyDescent="0.2">
      <c r="I432" s="3"/>
    </row>
    <row r="433" spans="9:9" x14ac:dyDescent="0.2">
      <c r="I433" s="3"/>
    </row>
    <row r="434" spans="9:9" x14ac:dyDescent="0.2">
      <c r="I434" s="3"/>
    </row>
    <row r="435" spans="9:9" x14ac:dyDescent="0.2">
      <c r="I435" s="3"/>
    </row>
    <row r="436" spans="9:9" x14ac:dyDescent="0.2">
      <c r="I436" s="3"/>
    </row>
    <row r="437" spans="9:9" x14ac:dyDescent="0.2">
      <c r="I437" s="3"/>
    </row>
    <row r="438" spans="9:9" x14ac:dyDescent="0.2">
      <c r="I438" s="3"/>
    </row>
    <row r="439" spans="9:9" x14ac:dyDescent="0.2">
      <c r="I439" s="3"/>
    </row>
    <row r="440" spans="9:9" x14ac:dyDescent="0.2">
      <c r="I440" s="3"/>
    </row>
    <row r="441" spans="9:9" x14ac:dyDescent="0.2">
      <c r="I441" s="3"/>
    </row>
    <row r="442" spans="9:9" x14ac:dyDescent="0.2">
      <c r="I442" s="3"/>
    </row>
    <row r="443" spans="9:9" x14ac:dyDescent="0.2">
      <c r="I443" s="3"/>
    </row>
    <row r="444" spans="9:9" x14ac:dyDescent="0.2">
      <c r="I444" s="3"/>
    </row>
    <row r="445" spans="9:9" x14ac:dyDescent="0.2">
      <c r="I445" s="3"/>
    </row>
    <row r="446" spans="9:9" x14ac:dyDescent="0.2">
      <c r="I446" s="3"/>
    </row>
    <row r="447" spans="9:9" x14ac:dyDescent="0.2">
      <c r="I447" s="3"/>
    </row>
    <row r="448" spans="9:9" x14ac:dyDescent="0.2">
      <c r="I448" s="3"/>
    </row>
    <row r="449" spans="9:9" x14ac:dyDescent="0.2">
      <c r="I449" s="3"/>
    </row>
    <row r="450" spans="9:9" x14ac:dyDescent="0.2">
      <c r="I450" s="3"/>
    </row>
    <row r="451" spans="9:9" x14ac:dyDescent="0.2">
      <c r="I451" s="3"/>
    </row>
    <row r="452" spans="9:9" x14ac:dyDescent="0.2">
      <c r="I452" s="3"/>
    </row>
    <row r="453" spans="9:9" x14ac:dyDescent="0.2">
      <c r="I453" s="3"/>
    </row>
    <row r="454" spans="9:9" x14ac:dyDescent="0.2">
      <c r="I454" s="3"/>
    </row>
    <row r="455" spans="9:9" x14ac:dyDescent="0.2">
      <c r="I455" s="3"/>
    </row>
  </sheetData>
  <mergeCells count="120">
    <mergeCell ref="B3:D3"/>
    <mergeCell ref="E3:G3"/>
    <mergeCell ref="J3:Q3"/>
    <mergeCell ref="R3:AA3"/>
    <mergeCell ref="A1:I1"/>
    <mergeCell ref="J1:AA1"/>
    <mergeCell ref="E2:G2"/>
    <mergeCell ref="J2:Q2"/>
    <mergeCell ref="R2:AA2"/>
    <mergeCell ref="B11:E11"/>
    <mergeCell ref="B4:D4"/>
    <mergeCell ref="E4:G4"/>
    <mergeCell ref="J4:Q4"/>
    <mergeCell ref="R4:AA5"/>
    <mergeCell ref="B5:G5"/>
    <mergeCell ref="J5:Q5"/>
    <mergeCell ref="B6:J6"/>
    <mergeCell ref="B8:E8"/>
    <mergeCell ref="B9:E9"/>
    <mergeCell ref="B10:E10"/>
    <mergeCell ref="K6:L7"/>
    <mergeCell ref="M6:N7"/>
    <mergeCell ref="O6:P7"/>
    <mergeCell ref="Q6:R7"/>
    <mergeCell ref="S6:T7"/>
    <mergeCell ref="U6:V7"/>
    <mergeCell ref="W6:X7"/>
    <mergeCell ref="Y6:AA7"/>
    <mergeCell ref="K8:L8"/>
    <mergeCell ref="M8:N8"/>
    <mergeCell ref="O8:P8"/>
    <mergeCell ref="Q8:R8"/>
    <mergeCell ref="S8:T8"/>
    <mergeCell ref="B23:E23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35:E35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47:E47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59:E59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71:E71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A76:E76"/>
    <mergeCell ref="A77:F77"/>
    <mergeCell ref="J77:M77"/>
    <mergeCell ref="N77:Q77"/>
    <mergeCell ref="R77:AA78"/>
    <mergeCell ref="A78:H78"/>
    <mergeCell ref="J78:L78"/>
    <mergeCell ref="M78:Q78"/>
    <mergeCell ref="A72:A73"/>
    <mergeCell ref="B72:E73"/>
    <mergeCell ref="A74:A75"/>
    <mergeCell ref="B74:C74"/>
    <mergeCell ref="D74:E74"/>
    <mergeCell ref="B75:C75"/>
    <mergeCell ref="D75:E75"/>
    <mergeCell ref="U8:V8"/>
    <mergeCell ref="W8:X8"/>
    <mergeCell ref="Y8:AA8"/>
    <mergeCell ref="K14:AA75"/>
    <mergeCell ref="K9:AA9"/>
    <mergeCell ref="K10:L11"/>
    <mergeCell ref="M10:N11"/>
    <mergeCell ref="O10:S11"/>
    <mergeCell ref="T10:AA13"/>
    <mergeCell ref="K12:L13"/>
    <mergeCell ref="M12:N13"/>
    <mergeCell ref="O12:S13"/>
  </mergeCells>
  <hyperlinks>
    <hyperlink ref="J3" r:id="rId1" xr:uid="{4955C87B-1FC6-5C46-8E93-7DE892D147B0}"/>
  </hyperlinks>
  <pageMargins left="0.25" right="0.25" top="0.75" bottom="0.75" header="0.3" footer="0.3"/>
  <pageSetup paperSize="9" scale="77" fitToHeight="0" orientation="landscape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32F2-703E-9242-A95E-1C6923AF44B7}">
  <sheetPr>
    <pageSetUpPr fitToPage="1"/>
  </sheetPr>
  <dimension ref="A1:AY183"/>
  <sheetViews>
    <sheetView zoomScale="90" zoomScaleNormal="84" workbookViewId="0">
      <pane ySplit="8" topLeftCell="A153" activePane="bottomLeft" state="frozen"/>
      <selection pane="bottomLeft" activeCell="F170" sqref="F170"/>
    </sheetView>
  </sheetViews>
  <sheetFormatPr baseColWidth="10" defaultColWidth="9.1640625" defaultRowHeight="15" x14ac:dyDescent="0.2"/>
  <cols>
    <col min="1" max="1" width="13.1640625" style="2" customWidth="1"/>
    <col min="2" max="3" width="9.1640625" style="2"/>
    <col min="4" max="5" width="9.1640625" style="2" customWidth="1"/>
    <col min="6" max="7" width="6.5" style="2" customWidth="1"/>
    <col min="8" max="8" width="11.1640625" style="2" customWidth="1"/>
    <col min="9" max="9" width="12" style="2" customWidth="1"/>
    <col min="10" max="10" width="5.6640625" style="2" customWidth="1"/>
    <col min="11" max="48" width="4.83203125" style="2" customWidth="1"/>
    <col min="49" max="51" width="9.1640625" style="2"/>
  </cols>
  <sheetData>
    <row r="1" spans="1:51" ht="39" customHeight="1" x14ac:dyDescent="0.2">
      <c r="A1" s="174" t="s">
        <v>48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</row>
    <row r="2" spans="1:51" ht="15" customHeight="1" x14ac:dyDescent="0.2">
      <c r="A2" s="17" t="s">
        <v>12</v>
      </c>
      <c r="B2" s="18"/>
      <c r="C2" s="17"/>
      <c r="D2" s="19"/>
      <c r="E2" s="71" t="s">
        <v>7</v>
      </c>
      <c r="F2" s="72"/>
      <c r="G2" s="73"/>
      <c r="H2" s="31" t="s">
        <v>66</v>
      </c>
      <c r="I2" s="185">
        <f>'ALS 10 BAZAR'!I2</f>
        <v>46224</v>
      </c>
      <c r="J2" s="185"/>
      <c r="K2" s="186"/>
      <c r="L2" s="186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</row>
    <row r="3" spans="1:51" ht="15" customHeight="1" x14ac:dyDescent="0.2">
      <c r="A3" s="13" t="s">
        <v>4</v>
      </c>
      <c r="B3" s="74" t="str">
        <f>'ALS 10 BAZAR'!B3:D3</f>
        <v>CONECTA</v>
      </c>
      <c r="C3" s="75"/>
      <c r="D3" s="76"/>
      <c r="E3" s="74"/>
      <c r="F3" s="75"/>
      <c r="G3" s="76"/>
      <c r="H3" s="45" t="s">
        <v>67</v>
      </c>
      <c r="I3" s="185">
        <f>'ALS 10 BAZAR'!I3</f>
        <v>0</v>
      </c>
      <c r="J3" s="185"/>
      <c r="K3" s="186"/>
      <c r="L3" s="186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</row>
    <row r="4" spans="1:51" ht="15" customHeight="1" x14ac:dyDescent="0.2">
      <c r="A4" s="13" t="s">
        <v>2</v>
      </c>
      <c r="B4" s="74">
        <f>'ALS 10 BAZAR'!B4:D4</f>
        <v>0</v>
      </c>
      <c r="C4" s="75"/>
      <c r="D4" s="76"/>
      <c r="E4" s="74"/>
      <c r="F4" s="75"/>
      <c r="G4" s="76"/>
      <c r="H4" s="32" t="s">
        <v>11</v>
      </c>
      <c r="I4" s="183">
        <f>'ALS 10 BAZAR'!I4</f>
        <v>0.5</v>
      </c>
      <c r="J4" s="183"/>
      <c r="K4" s="186"/>
      <c r="L4" s="186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</row>
    <row r="5" spans="1:51" ht="15" customHeight="1" x14ac:dyDescent="0.2">
      <c r="A5" s="13" t="s">
        <v>5</v>
      </c>
      <c r="B5" s="74" t="str">
        <f>'ALS 10 BAZAR'!B5:G5</f>
        <v>BOLETO 30/40/50/60/70/80/90/100/110/120</v>
      </c>
      <c r="C5" s="75"/>
      <c r="D5" s="75"/>
      <c r="E5" s="75"/>
      <c r="F5" s="75"/>
      <c r="G5" s="76"/>
      <c r="H5" s="33" t="s">
        <v>68</v>
      </c>
      <c r="I5" s="183">
        <f>'ALS 10 BAZAR'!I5</f>
        <v>0</v>
      </c>
      <c r="J5" s="183"/>
      <c r="K5" s="184"/>
      <c r="L5" s="18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</row>
    <row r="6" spans="1:51" ht="15" customHeight="1" x14ac:dyDescent="0.2">
      <c r="A6" s="13" t="s">
        <v>6</v>
      </c>
      <c r="B6" s="187"/>
      <c r="C6" s="187"/>
      <c r="D6" s="187"/>
      <c r="E6" s="187"/>
      <c r="F6" s="187"/>
      <c r="G6" s="187"/>
      <c r="H6" s="187"/>
      <c r="I6" s="40"/>
      <c r="J6" s="40"/>
      <c r="K6" s="156" t="s">
        <v>71</v>
      </c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 t="s">
        <v>72</v>
      </c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9"/>
      <c r="AO6" s="163" t="s">
        <v>73</v>
      </c>
      <c r="AP6" s="163"/>
      <c r="AQ6" s="163"/>
      <c r="AR6" s="163"/>
      <c r="AS6" s="163"/>
      <c r="AT6" s="163"/>
      <c r="AU6" s="163"/>
      <c r="AV6" s="163"/>
    </row>
    <row r="7" spans="1:51" s="2" customFormat="1" ht="15" customHeight="1" x14ac:dyDescent="0.2">
      <c r="A7" s="13" t="s">
        <v>24</v>
      </c>
      <c r="B7" s="20" t="s">
        <v>19</v>
      </c>
      <c r="C7" s="21" t="str">
        <f>'ALS 10 BAZAR'!C7</f>
        <v>RETIRA</v>
      </c>
      <c r="D7" s="20" t="s">
        <v>25</v>
      </c>
      <c r="E7" s="22" t="str">
        <f>'ALS 10 BAZAR'!E7</f>
        <v>NÃO</v>
      </c>
      <c r="F7" s="20" t="s">
        <v>26</v>
      </c>
      <c r="G7" s="22" t="str">
        <f>'ALS 10 BAZAR'!G7</f>
        <v>NÃO</v>
      </c>
      <c r="H7" s="20" t="s">
        <v>27</v>
      </c>
      <c r="I7" s="20" t="str">
        <f>'ALS 10 BAZAR'!I7</f>
        <v>SIM</v>
      </c>
      <c r="J7" s="20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60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2"/>
      <c r="AO7" s="163"/>
      <c r="AP7" s="163"/>
      <c r="AQ7" s="163"/>
      <c r="AR7" s="163"/>
      <c r="AS7" s="163"/>
      <c r="AT7" s="163"/>
      <c r="AU7" s="163"/>
      <c r="AV7" s="163"/>
    </row>
    <row r="8" spans="1:51" ht="36" customHeight="1" x14ac:dyDescent="0.2">
      <c r="A8" s="14" t="s">
        <v>20</v>
      </c>
      <c r="B8" s="77" t="s">
        <v>15</v>
      </c>
      <c r="C8" s="78"/>
      <c r="D8" s="78"/>
      <c r="E8" s="79"/>
      <c r="F8" s="25" t="s">
        <v>0</v>
      </c>
      <c r="G8" s="25" t="s">
        <v>1</v>
      </c>
      <c r="H8" s="25" t="s">
        <v>13</v>
      </c>
      <c r="I8" s="25" t="s">
        <v>49</v>
      </c>
      <c r="J8" s="46" t="s">
        <v>50</v>
      </c>
      <c r="K8" s="146" t="s">
        <v>78</v>
      </c>
      <c r="L8" s="147"/>
      <c r="M8" s="146" t="s">
        <v>33</v>
      </c>
      <c r="N8" s="147"/>
      <c r="O8" s="146" t="s">
        <v>32</v>
      </c>
      <c r="P8" s="147"/>
      <c r="Q8" s="146" t="s">
        <v>69</v>
      </c>
      <c r="R8" s="147"/>
      <c r="S8" s="146" t="s">
        <v>28</v>
      </c>
      <c r="T8" s="147"/>
      <c r="U8" s="146" t="s">
        <v>18</v>
      </c>
      <c r="V8" s="147"/>
      <c r="W8" s="146" t="s">
        <v>70</v>
      </c>
      <c r="X8" s="147"/>
      <c r="Y8" s="146" t="s">
        <v>51</v>
      </c>
      <c r="Z8" s="147"/>
      <c r="AA8" s="146" t="s">
        <v>16</v>
      </c>
      <c r="AB8" s="147"/>
      <c r="AC8" s="146" t="s">
        <v>17</v>
      </c>
      <c r="AD8" s="147"/>
      <c r="AE8" s="146" t="s">
        <v>62</v>
      </c>
      <c r="AF8" s="147"/>
      <c r="AG8" s="146" t="s">
        <v>63</v>
      </c>
      <c r="AH8" s="147"/>
      <c r="AI8" s="146" t="s">
        <v>34</v>
      </c>
      <c r="AJ8" s="147"/>
      <c r="AK8" s="178" t="s">
        <v>45</v>
      </c>
      <c r="AL8" s="179"/>
      <c r="AM8" s="178" t="s">
        <v>65</v>
      </c>
      <c r="AN8" s="179"/>
      <c r="AO8" s="176" t="s">
        <v>64</v>
      </c>
      <c r="AP8" s="177"/>
      <c r="AQ8" s="176" t="s">
        <v>74</v>
      </c>
      <c r="AR8" s="177"/>
      <c r="AS8" s="172" t="s">
        <v>47</v>
      </c>
      <c r="AT8" s="173"/>
      <c r="AU8" s="172" t="s">
        <v>61</v>
      </c>
      <c r="AV8" s="173"/>
      <c r="AW8" s="23"/>
      <c r="AX8" s="23"/>
      <c r="AY8" s="23"/>
    </row>
    <row r="9" spans="1:51" s="44" customFormat="1" ht="22" customHeight="1" x14ac:dyDescent="0.2">
      <c r="A9" s="41">
        <f>'ALS 10 BAZAR'!A9</f>
        <v>652</v>
      </c>
      <c r="B9" s="165" t="str">
        <f>'ALS 10 BAZAR'!B9:E9</f>
        <v>INCENSARIO MOTIVACIONAL</v>
      </c>
      <c r="C9" s="182"/>
      <c r="D9" s="182"/>
      <c r="E9" s="166"/>
      <c r="F9" s="42">
        <f>'ALS 10 BAZAR'!F9</f>
        <v>6</v>
      </c>
      <c r="G9" s="43">
        <f>'ALS 10 BAZAR'!G9</f>
        <v>0</v>
      </c>
      <c r="H9" s="39">
        <f t="shared" ref="H9:H126" si="0">F9*G9</f>
        <v>0</v>
      </c>
      <c r="I9" s="39"/>
      <c r="J9" s="47"/>
      <c r="K9" s="56"/>
      <c r="L9" s="57"/>
      <c r="M9" s="169"/>
      <c r="N9" s="170"/>
      <c r="O9" s="167"/>
      <c r="P9" s="168"/>
      <c r="Q9" s="165"/>
      <c r="R9" s="166"/>
      <c r="S9" s="167"/>
      <c r="T9" s="168"/>
      <c r="U9" s="165"/>
      <c r="V9" s="166"/>
      <c r="W9" s="167"/>
      <c r="X9" s="168"/>
      <c r="Y9" s="165"/>
      <c r="Z9" s="166"/>
      <c r="AA9" s="167"/>
      <c r="AB9" s="168"/>
      <c r="AC9" s="165"/>
      <c r="AD9" s="166"/>
      <c r="AE9" s="167"/>
      <c r="AF9" s="168"/>
      <c r="AG9" s="165"/>
      <c r="AH9" s="166"/>
      <c r="AI9" s="167"/>
      <c r="AJ9" s="168"/>
      <c r="AK9" s="165"/>
      <c r="AL9" s="166"/>
      <c r="AM9" s="167"/>
      <c r="AN9" s="168"/>
      <c r="AO9" s="165"/>
      <c r="AP9" s="166"/>
      <c r="AQ9" s="167"/>
      <c r="AR9" s="168"/>
      <c r="AS9" s="165"/>
      <c r="AT9" s="166"/>
      <c r="AU9" s="167"/>
      <c r="AV9" s="168"/>
      <c r="AW9" s="23"/>
      <c r="AX9" s="23"/>
      <c r="AY9" s="23"/>
    </row>
    <row r="10" spans="1:51" s="44" customFormat="1" ht="22" customHeight="1" x14ac:dyDescent="0.2">
      <c r="A10" s="41">
        <f>'ALS 10 BAZAR'!A10</f>
        <v>653</v>
      </c>
      <c r="B10" s="165" t="str">
        <f>'ALS 10 BAZAR'!B10:E10</f>
        <v>KIT PETISQUEIRA QUADRADA</v>
      </c>
      <c r="C10" s="182"/>
      <c r="D10" s="182"/>
      <c r="E10" s="166"/>
      <c r="F10" s="42">
        <f>'ALS 10 BAZAR'!F10</f>
        <v>6</v>
      </c>
      <c r="G10" s="43">
        <f>'ALS 10 BAZAR'!G10</f>
        <v>0</v>
      </c>
      <c r="H10" s="39">
        <f t="shared" si="0"/>
        <v>0</v>
      </c>
      <c r="I10" s="39"/>
      <c r="J10" s="47"/>
      <c r="K10" s="56"/>
      <c r="L10" s="57"/>
      <c r="M10" s="165"/>
      <c r="N10" s="166"/>
      <c r="O10" s="167"/>
      <c r="P10" s="168"/>
      <c r="Q10" s="165"/>
      <c r="R10" s="166"/>
      <c r="S10" s="167"/>
      <c r="T10" s="168"/>
      <c r="U10" s="165"/>
      <c r="V10" s="166"/>
      <c r="W10" s="167"/>
      <c r="X10" s="168"/>
      <c r="Y10" s="165"/>
      <c r="Z10" s="166"/>
      <c r="AA10" s="167"/>
      <c r="AB10" s="168"/>
      <c r="AC10" s="165"/>
      <c r="AD10" s="166"/>
      <c r="AE10" s="167"/>
      <c r="AF10" s="168"/>
      <c r="AG10" s="165"/>
      <c r="AH10" s="166"/>
      <c r="AI10" s="167"/>
      <c r="AJ10" s="168"/>
      <c r="AK10" s="165"/>
      <c r="AL10" s="166"/>
      <c r="AM10" s="167"/>
      <c r="AN10" s="168"/>
      <c r="AO10" s="165"/>
      <c r="AP10" s="166"/>
      <c r="AQ10" s="167"/>
      <c r="AR10" s="168"/>
      <c r="AS10" s="165"/>
      <c r="AT10" s="166"/>
      <c r="AU10" s="167"/>
      <c r="AV10" s="168"/>
      <c r="AW10" s="23"/>
      <c r="AX10" s="23"/>
      <c r="AY10" s="23"/>
    </row>
    <row r="11" spans="1:51" s="44" customFormat="1" ht="22" customHeight="1" x14ac:dyDescent="0.2">
      <c r="A11" s="41">
        <f>'ALS 10 BAZAR'!A11</f>
        <v>654</v>
      </c>
      <c r="B11" s="165" t="str">
        <f>'ALS 10 BAZAR'!B11:E11</f>
        <v>KIT PETISQUEIRA RETANGULAR</v>
      </c>
      <c r="C11" s="182"/>
      <c r="D11" s="182"/>
      <c r="E11" s="166"/>
      <c r="F11" s="42">
        <f>'ALS 10 BAZAR'!F11</f>
        <v>6</v>
      </c>
      <c r="G11" s="43">
        <f>'ALS 10 BAZAR'!G11</f>
        <v>0</v>
      </c>
      <c r="H11" s="39">
        <f t="shared" si="0"/>
        <v>0</v>
      </c>
      <c r="I11" s="39"/>
      <c r="J11" s="47"/>
      <c r="K11" s="56"/>
      <c r="L11" s="57"/>
      <c r="M11" s="165"/>
      <c r="N11" s="166"/>
      <c r="O11" s="167"/>
      <c r="P11" s="168"/>
      <c r="Q11" s="165"/>
      <c r="R11" s="166"/>
      <c r="S11" s="167"/>
      <c r="T11" s="168"/>
      <c r="U11" s="165"/>
      <c r="V11" s="166"/>
      <c r="W11" s="167"/>
      <c r="X11" s="168"/>
      <c r="Y11" s="165"/>
      <c r="Z11" s="166"/>
      <c r="AA11" s="167"/>
      <c r="AB11" s="168"/>
      <c r="AC11" s="165"/>
      <c r="AD11" s="166"/>
      <c r="AE11" s="167"/>
      <c r="AF11" s="168"/>
      <c r="AG11" s="165"/>
      <c r="AH11" s="166"/>
      <c r="AI11" s="167"/>
      <c r="AJ11" s="168"/>
      <c r="AK11" s="165"/>
      <c r="AL11" s="166"/>
      <c r="AM11" s="167"/>
      <c r="AN11" s="168"/>
      <c r="AO11" s="165"/>
      <c r="AP11" s="166"/>
      <c r="AQ11" s="167"/>
      <c r="AR11" s="168"/>
      <c r="AS11" s="165"/>
      <c r="AT11" s="166"/>
      <c r="AU11" s="167"/>
      <c r="AV11" s="168"/>
      <c r="AW11" s="23"/>
      <c r="AX11" s="23"/>
      <c r="AY11" s="23"/>
    </row>
    <row r="12" spans="1:51" s="44" customFormat="1" ht="22" customHeight="1" x14ac:dyDescent="0.2">
      <c r="A12" s="41">
        <f>'ALS 10 BAZAR'!A12</f>
        <v>655</v>
      </c>
      <c r="B12" s="165" t="str">
        <f>'ALS 10 BAZAR'!B12:E12</f>
        <v>KIT PETISQUEIRA REDONDA</v>
      </c>
      <c r="C12" s="182"/>
      <c r="D12" s="182"/>
      <c r="E12" s="166"/>
      <c r="F12" s="42">
        <f>'ALS 10 BAZAR'!F12</f>
        <v>6</v>
      </c>
      <c r="G12" s="43">
        <f>'ALS 10 BAZAR'!G12</f>
        <v>0</v>
      </c>
      <c r="H12" s="39">
        <f t="shared" si="0"/>
        <v>0</v>
      </c>
      <c r="I12" s="39"/>
      <c r="J12" s="47"/>
      <c r="K12" s="56"/>
      <c r="L12" s="57"/>
      <c r="M12" s="165"/>
      <c r="N12" s="166"/>
      <c r="O12" s="167"/>
      <c r="P12" s="168"/>
      <c r="Q12" s="165"/>
      <c r="R12" s="166"/>
      <c r="S12" s="167"/>
      <c r="T12" s="168"/>
      <c r="U12" s="165"/>
      <c r="V12" s="166"/>
      <c r="W12" s="167"/>
      <c r="X12" s="168"/>
      <c r="Y12" s="165"/>
      <c r="Z12" s="166"/>
      <c r="AA12" s="167"/>
      <c r="AB12" s="168"/>
      <c r="AC12" s="165"/>
      <c r="AD12" s="166"/>
      <c r="AE12" s="167"/>
      <c r="AF12" s="168"/>
      <c r="AG12" s="165"/>
      <c r="AH12" s="166"/>
      <c r="AI12" s="167"/>
      <c r="AJ12" s="168"/>
      <c r="AK12" s="165"/>
      <c r="AL12" s="166"/>
      <c r="AM12" s="167"/>
      <c r="AN12" s="168"/>
      <c r="AO12" s="165"/>
      <c r="AP12" s="166"/>
      <c r="AQ12" s="167"/>
      <c r="AR12" s="168"/>
      <c r="AS12" s="165"/>
      <c r="AT12" s="166"/>
      <c r="AU12" s="167"/>
      <c r="AV12" s="168"/>
      <c r="AW12" s="23"/>
      <c r="AX12" s="23"/>
      <c r="AY12" s="23"/>
    </row>
    <row r="13" spans="1:51" s="44" customFormat="1" ht="22" customHeight="1" x14ac:dyDescent="0.2">
      <c r="A13" s="41">
        <f>'ALS 10 BAZAR'!A13</f>
        <v>656</v>
      </c>
      <c r="B13" s="165" t="str">
        <f>'ALS 10 BAZAR'!B13:E13</f>
        <v>PORTA TEMPERO TABUA P/5</v>
      </c>
      <c r="C13" s="182"/>
      <c r="D13" s="182"/>
      <c r="E13" s="166"/>
      <c r="F13" s="42">
        <f>'ALS 10 BAZAR'!F13</f>
        <v>6</v>
      </c>
      <c r="G13" s="43">
        <f>'ALS 10 BAZAR'!G13</f>
        <v>0</v>
      </c>
      <c r="H13" s="39">
        <f t="shared" si="0"/>
        <v>0</v>
      </c>
      <c r="I13" s="39"/>
      <c r="J13" s="47"/>
      <c r="K13" s="56"/>
      <c r="L13" s="57"/>
      <c r="M13" s="165"/>
      <c r="N13" s="166"/>
      <c r="O13" s="167"/>
      <c r="P13" s="168"/>
      <c r="Q13" s="165"/>
      <c r="R13" s="166"/>
      <c r="S13" s="167"/>
      <c r="T13" s="168"/>
      <c r="U13" s="165"/>
      <c r="V13" s="166"/>
      <c r="W13" s="167"/>
      <c r="X13" s="168"/>
      <c r="Y13" s="165"/>
      <c r="Z13" s="166"/>
      <c r="AA13" s="167"/>
      <c r="AB13" s="168"/>
      <c r="AC13" s="165"/>
      <c r="AD13" s="166"/>
      <c r="AE13" s="167"/>
      <c r="AF13" s="168"/>
      <c r="AG13" s="165"/>
      <c r="AH13" s="166"/>
      <c r="AI13" s="167"/>
      <c r="AJ13" s="168"/>
      <c r="AK13" s="165"/>
      <c r="AL13" s="166"/>
      <c r="AM13" s="167"/>
      <c r="AN13" s="168"/>
      <c r="AO13" s="165"/>
      <c r="AP13" s="166"/>
      <c r="AQ13" s="167"/>
      <c r="AR13" s="168"/>
      <c r="AS13" s="165"/>
      <c r="AT13" s="166"/>
      <c r="AU13" s="167"/>
      <c r="AV13" s="168"/>
      <c r="AW13" s="23"/>
      <c r="AX13" s="23"/>
      <c r="AY13" s="23"/>
    </row>
    <row r="14" spans="1:51" s="44" customFormat="1" ht="22" customHeight="1" x14ac:dyDescent="0.2">
      <c r="A14" s="41">
        <f>'ALS 10 BAZAR'!A14</f>
        <v>657</v>
      </c>
      <c r="B14" s="165" t="str">
        <f>'ALS 10 BAZAR'!B14:E14</f>
        <v>QUADRO MINHAS COMPRAS 11X30</v>
      </c>
      <c r="C14" s="182"/>
      <c r="D14" s="182"/>
      <c r="E14" s="166"/>
      <c r="F14" s="42">
        <f>'ALS 10 BAZAR'!F14</f>
        <v>6</v>
      </c>
      <c r="G14" s="43">
        <f>'ALS 10 BAZAR'!G14</f>
        <v>0</v>
      </c>
      <c r="H14" s="39">
        <f t="shared" si="0"/>
        <v>0</v>
      </c>
      <c r="I14" s="39"/>
      <c r="J14" s="47"/>
      <c r="K14" s="56"/>
      <c r="L14" s="57"/>
      <c r="M14" s="165"/>
      <c r="N14" s="166"/>
      <c r="O14" s="167"/>
      <c r="P14" s="168"/>
      <c r="Q14" s="165"/>
      <c r="R14" s="166"/>
      <c r="S14" s="167"/>
      <c r="T14" s="168"/>
      <c r="U14" s="165"/>
      <c r="V14" s="166"/>
      <c r="W14" s="167"/>
      <c r="X14" s="168"/>
      <c r="Y14" s="165"/>
      <c r="Z14" s="166"/>
      <c r="AA14" s="167"/>
      <c r="AB14" s="168"/>
      <c r="AC14" s="165"/>
      <c r="AD14" s="166"/>
      <c r="AE14" s="167"/>
      <c r="AF14" s="168"/>
      <c r="AG14" s="165"/>
      <c r="AH14" s="166"/>
      <c r="AI14" s="167"/>
      <c r="AJ14" s="168"/>
      <c r="AK14" s="165"/>
      <c r="AL14" s="166"/>
      <c r="AM14" s="167"/>
      <c r="AN14" s="168"/>
      <c r="AO14" s="165"/>
      <c r="AP14" s="166"/>
      <c r="AQ14" s="167"/>
      <c r="AR14" s="168"/>
      <c r="AS14" s="165"/>
      <c r="AT14" s="166"/>
      <c r="AU14" s="167"/>
      <c r="AV14" s="168"/>
      <c r="AW14" s="23"/>
      <c r="AX14" s="23"/>
      <c r="AY14" s="23"/>
    </row>
    <row r="15" spans="1:51" s="44" customFormat="1" ht="22" customHeight="1" x14ac:dyDescent="0.2">
      <c r="A15" s="41">
        <f>'ALS 10 BAZAR'!A15</f>
        <v>659</v>
      </c>
      <c r="B15" s="165" t="str">
        <f>'ALS 10 BAZAR'!B15:E15</f>
        <v>MURAL DE RECADOS COM BLOCO 10X15 E CANETA</v>
      </c>
      <c r="C15" s="182"/>
      <c r="D15" s="182"/>
      <c r="E15" s="166"/>
      <c r="F15" s="42">
        <f>'ALS 10 BAZAR'!F15</f>
        <v>6</v>
      </c>
      <c r="G15" s="43">
        <f>'ALS 10 BAZAR'!G15</f>
        <v>0</v>
      </c>
      <c r="H15" s="39">
        <f t="shared" si="0"/>
        <v>0</v>
      </c>
      <c r="I15" s="39"/>
      <c r="J15" s="47"/>
      <c r="K15" s="56"/>
      <c r="L15" s="57"/>
      <c r="M15" s="165"/>
      <c r="N15" s="166"/>
      <c r="O15" s="167"/>
      <c r="P15" s="168"/>
      <c r="Q15" s="165"/>
      <c r="R15" s="166"/>
      <c r="S15" s="167"/>
      <c r="T15" s="168"/>
      <c r="U15" s="165"/>
      <c r="V15" s="166"/>
      <c r="W15" s="167"/>
      <c r="X15" s="168"/>
      <c r="Y15" s="165"/>
      <c r="Z15" s="166"/>
      <c r="AA15" s="167"/>
      <c r="AB15" s="168"/>
      <c r="AC15" s="165"/>
      <c r="AD15" s="166"/>
      <c r="AE15" s="167"/>
      <c r="AF15" s="168"/>
      <c r="AG15" s="165"/>
      <c r="AH15" s="166"/>
      <c r="AI15" s="167"/>
      <c r="AJ15" s="168"/>
      <c r="AK15" s="165"/>
      <c r="AL15" s="166"/>
      <c r="AM15" s="167"/>
      <c r="AN15" s="168"/>
      <c r="AO15" s="165"/>
      <c r="AP15" s="166"/>
      <c r="AQ15" s="167"/>
      <c r="AR15" s="168"/>
      <c r="AS15" s="165"/>
      <c r="AT15" s="166"/>
      <c r="AU15" s="167"/>
      <c r="AV15" s="168"/>
      <c r="AW15" s="23"/>
      <c r="AX15" s="23"/>
      <c r="AY15" s="23"/>
    </row>
    <row r="16" spans="1:51" s="44" customFormat="1" ht="22" customHeight="1" x14ac:dyDescent="0.2">
      <c r="A16" s="41">
        <f>'ALS 10 BAZAR'!A16</f>
        <v>660</v>
      </c>
      <c r="B16" s="165" t="str">
        <f>'ALS 10 BAZAR'!B16:E16</f>
        <v>MURAL DE RECADOS 2 EM 1</v>
      </c>
      <c r="C16" s="182"/>
      <c r="D16" s="182"/>
      <c r="E16" s="166"/>
      <c r="F16" s="42">
        <f>'ALS 10 BAZAR'!F16</f>
        <v>6</v>
      </c>
      <c r="G16" s="43">
        <f>'ALS 10 BAZAR'!G16</f>
        <v>0</v>
      </c>
      <c r="H16" s="39">
        <f t="shared" si="0"/>
        <v>0</v>
      </c>
      <c r="I16" s="39"/>
      <c r="J16" s="47"/>
      <c r="K16" s="49"/>
      <c r="L16" s="50"/>
      <c r="M16" s="165"/>
      <c r="N16" s="166"/>
      <c r="O16" s="167"/>
      <c r="P16" s="168"/>
      <c r="Q16" s="165"/>
      <c r="R16" s="166"/>
      <c r="S16" s="167"/>
      <c r="T16" s="168"/>
      <c r="U16" s="165"/>
      <c r="V16" s="166"/>
      <c r="W16" s="167"/>
      <c r="X16" s="168"/>
      <c r="Y16" s="165"/>
      <c r="Z16" s="166"/>
      <c r="AA16" s="167"/>
      <c r="AB16" s="168"/>
      <c r="AC16" s="165"/>
      <c r="AD16" s="166"/>
      <c r="AE16" s="167"/>
      <c r="AF16" s="168"/>
      <c r="AG16" s="165"/>
      <c r="AH16" s="166"/>
      <c r="AI16" s="167"/>
      <c r="AJ16" s="168"/>
      <c r="AK16" s="165"/>
      <c r="AL16" s="166"/>
      <c r="AM16" s="167"/>
      <c r="AN16" s="168"/>
      <c r="AO16" s="165"/>
      <c r="AP16" s="166"/>
      <c r="AQ16" s="167"/>
      <c r="AR16" s="168"/>
      <c r="AS16" s="165"/>
      <c r="AT16" s="166"/>
      <c r="AU16" s="167"/>
      <c r="AV16" s="168"/>
      <c r="AW16" s="23"/>
      <c r="AX16" s="23"/>
      <c r="AY16" s="23"/>
    </row>
    <row r="17" spans="1:51" s="44" customFormat="1" ht="22" customHeight="1" x14ac:dyDescent="0.2">
      <c r="A17" s="41">
        <f>'ALS 10 BAZAR'!A17</f>
        <v>661</v>
      </c>
      <c r="B17" s="165" t="str">
        <f>'ALS 10 BAZAR'!B17:E17</f>
        <v>LOUSA 2 EM 1 JOGO DA FORCA E VELHA</v>
      </c>
      <c r="C17" s="182"/>
      <c r="D17" s="182"/>
      <c r="E17" s="166"/>
      <c r="F17" s="42">
        <f>'ALS 10 BAZAR'!F17</f>
        <v>6</v>
      </c>
      <c r="G17" s="43">
        <f>'ALS 10 BAZAR'!G17</f>
        <v>0</v>
      </c>
      <c r="H17" s="39">
        <f t="shared" si="0"/>
        <v>0</v>
      </c>
      <c r="I17" s="39"/>
      <c r="J17" s="47"/>
      <c r="K17" s="49"/>
      <c r="L17" s="50"/>
      <c r="M17" s="165"/>
      <c r="N17" s="166"/>
      <c r="O17" s="167"/>
      <c r="P17" s="168"/>
      <c r="Q17" s="165"/>
      <c r="R17" s="166"/>
      <c r="S17" s="167"/>
      <c r="T17" s="168"/>
      <c r="U17" s="165"/>
      <c r="V17" s="166"/>
      <c r="W17" s="167"/>
      <c r="X17" s="168"/>
      <c r="Y17" s="165"/>
      <c r="Z17" s="166"/>
      <c r="AA17" s="167"/>
      <c r="AB17" s="168"/>
      <c r="AC17" s="165"/>
      <c r="AD17" s="166"/>
      <c r="AE17" s="167"/>
      <c r="AF17" s="168"/>
      <c r="AG17" s="165"/>
      <c r="AH17" s="166"/>
      <c r="AI17" s="167"/>
      <c r="AJ17" s="168"/>
      <c r="AK17" s="165"/>
      <c r="AL17" s="166"/>
      <c r="AM17" s="167"/>
      <c r="AN17" s="168"/>
      <c r="AO17" s="165"/>
      <c r="AP17" s="166"/>
      <c r="AQ17" s="167"/>
      <c r="AR17" s="168"/>
      <c r="AS17" s="165"/>
      <c r="AT17" s="166"/>
      <c r="AU17" s="167"/>
      <c r="AV17" s="168"/>
      <c r="AW17" s="23"/>
      <c r="AX17" s="23"/>
      <c r="AY17" s="23"/>
    </row>
    <row r="18" spans="1:51" s="44" customFormat="1" ht="22" customHeight="1" x14ac:dyDescent="0.2">
      <c r="A18" s="41">
        <f>'ALS 10 BAZAR'!A18</f>
        <v>662</v>
      </c>
      <c r="B18" s="165" t="str">
        <f>'ALS 10 BAZAR'!B18:E18</f>
        <v>PORTA CONTROLE 3 DIV GOLD</v>
      </c>
      <c r="C18" s="182"/>
      <c r="D18" s="182"/>
      <c r="E18" s="166"/>
      <c r="F18" s="42">
        <f>'ALS 10 BAZAR'!F18</f>
        <v>6</v>
      </c>
      <c r="G18" s="43">
        <f>'ALS 10 BAZAR'!G18</f>
        <v>0</v>
      </c>
      <c r="H18" s="39">
        <f t="shared" si="0"/>
        <v>0</v>
      </c>
      <c r="I18" s="39"/>
      <c r="J18" s="47"/>
      <c r="K18" s="49"/>
      <c r="L18" s="50"/>
      <c r="M18" s="165"/>
      <c r="N18" s="166"/>
      <c r="O18" s="167"/>
      <c r="P18" s="168"/>
      <c r="Q18" s="165"/>
      <c r="R18" s="166"/>
      <c r="S18" s="167"/>
      <c r="T18" s="168"/>
      <c r="U18" s="165"/>
      <c r="V18" s="166"/>
      <c r="W18" s="167"/>
      <c r="X18" s="168"/>
      <c r="Y18" s="165"/>
      <c r="Z18" s="166"/>
      <c r="AA18" s="167"/>
      <c r="AB18" s="168"/>
      <c r="AC18" s="165"/>
      <c r="AD18" s="166"/>
      <c r="AE18" s="167"/>
      <c r="AF18" s="168"/>
      <c r="AG18" s="165"/>
      <c r="AH18" s="166"/>
      <c r="AI18" s="167"/>
      <c r="AJ18" s="168"/>
      <c r="AK18" s="165"/>
      <c r="AL18" s="166"/>
      <c r="AM18" s="167"/>
      <c r="AN18" s="168"/>
      <c r="AO18" s="165"/>
      <c r="AP18" s="166"/>
      <c r="AQ18" s="167"/>
      <c r="AR18" s="168"/>
      <c r="AS18" s="165"/>
      <c r="AT18" s="166"/>
      <c r="AU18" s="167"/>
      <c r="AV18" s="168"/>
      <c r="AW18" s="23"/>
      <c r="AX18" s="23"/>
      <c r="AY18" s="23"/>
    </row>
    <row r="19" spans="1:51" s="44" customFormat="1" ht="22" customHeight="1" x14ac:dyDescent="0.2">
      <c r="A19" s="41">
        <f>'ALS 10 BAZAR'!A19</f>
        <v>664</v>
      </c>
      <c r="B19" s="165" t="str">
        <f>'ALS 10 BAZAR'!B19:E19</f>
        <v>ARRANJO DE PAREDE 30X30 CISAL</v>
      </c>
      <c r="C19" s="182"/>
      <c r="D19" s="182"/>
      <c r="E19" s="166"/>
      <c r="F19" s="42">
        <f>'ALS 10 BAZAR'!F19</f>
        <v>6</v>
      </c>
      <c r="G19" s="43">
        <f>'ALS 10 BAZAR'!G19</f>
        <v>0</v>
      </c>
      <c r="H19" s="39">
        <f t="shared" si="0"/>
        <v>0</v>
      </c>
      <c r="I19" s="39"/>
      <c r="J19" s="47"/>
      <c r="K19" s="49"/>
      <c r="L19" s="50"/>
      <c r="M19" s="165"/>
      <c r="N19" s="166"/>
      <c r="O19" s="167"/>
      <c r="P19" s="168"/>
      <c r="Q19" s="165"/>
      <c r="R19" s="166"/>
      <c r="S19" s="167"/>
      <c r="T19" s="168"/>
      <c r="U19" s="165"/>
      <c r="V19" s="166"/>
      <c r="W19" s="167"/>
      <c r="X19" s="168"/>
      <c r="Y19" s="165"/>
      <c r="Z19" s="166"/>
      <c r="AA19" s="167"/>
      <c r="AB19" s="168"/>
      <c r="AC19" s="165"/>
      <c r="AD19" s="166"/>
      <c r="AE19" s="167"/>
      <c r="AF19" s="168"/>
      <c r="AG19" s="165"/>
      <c r="AH19" s="166"/>
      <c r="AI19" s="167"/>
      <c r="AJ19" s="168"/>
      <c r="AK19" s="165"/>
      <c r="AL19" s="166"/>
      <c r="AM19" s="167"/>
      <c r="AN19" s="168"/>
      <c r="AO19" s="165"/>
      <c r="AP19" s="166"/>
      <c r="AQ19" s="167"/>
      <c r="AR19" s="168"/>
      <c r="AS19" s="165"/>
      <c r="AT19" s="166"/>
      <c r="AU19" s="167"/>
      <c r="AV19" s="168"/>
      <c r="AW19" s="23"/>
      <c r="AX19" s="23"/>
      <c r="AY19" s="23"/>
    </row>
    <row r="20" spans="1:51" s="44" customFormat="1" ht="22" customHeight="1" x14ac:dyDescent="0.2">
      <c r="A20" s="41">
        <f>'ALS 10 BAZAR'!A20</f>
        <v>665</v>
      </c>
      <c r="B20" s="165" t="str">
        <f>'ALS 10 BAZAR'!B20:E20</f>
        <v>ARRANJO DE PAREDE 41X46</v>
      </c>
      <c r="C20" s="182"/>
      <c r="D20" s="182"/>
      <c r="E20" s="166"/>
      <c r="F20" s="42">
        <f>'ALS 10 BAZAR'!F20</f>
        <v>6</v>
      </c>
      <c r="G20" s="43">
        <f>'ALS 10 BAZAR'!G20</f>
        <v>0</v>
      </c>
      <c r="H20" s="39">
        <f t="shared" si="0"/>
        <v>0</v>
      </c>
      <c r="I20" s="39"/>
      <c r="J20" s="47"/>
      <c r="K20" s="49"/>
      <c r="L20" s="50"/>
      <c r="M20" s="165"/>
      <c r="N20" s="166"/>
      <c r="O20" s="167"/>
      <c r="P20" s="168"/>
      <c r="Q20" s="165"/>
      <c r="R20" s="166"/>
      <c r="S20" s="167"/>
      <c r="T20" s="168"/>
      <c r="U20" s="165"/>
      <c r="V20" s="166"/>
      <c r="W20" s="167"/>
      <c r="X20" s="168"/>
      <c r="Y20" s="165"/>
      <c r="Z20" s="166"/>
      <c r="AA20" s="167"/>
      <c r="AB20" s="168"/>
      <c r="AC20" s="165"/>
      <c r="AD20" s="166"/>
      <c r="AE20" s="167"/>
      <c r="AF20" s="168"/>
      <c r="AG20" s="165"/>
      <c r="AH20" s="166"/>
      <c r="AI20" s="167"/>
      <c r="AJ20" s="168"/>
      <c r="AK20" s="165"/>
      <c r="AL20" s="166"/>
      <c r="AM20" s="167"/>
      <c r="AN20" s="168"/>
      <c r="AO20" s="165"/>
      <c r="AP20" s="166"/>
      <c r="AQ20" s="167"/>
      <c r="AR20" s="168"/>
      <c r="AS20" s="165"/>
      <c r="AT20" s="166"/>
      <c r="AU20" s="167"/>
      <c r="AV20" s="168"/>
      <c r="AW20" s="23"/>
      <c r="AX20" s="23"/>
      <c r="AY20" s="23"/>
    </row>
    <row r="21" spans="1:51" s="44" customFormat="1" ht="22" customHeight="1" x14ac:dyDescent="0.2">
      <c r="A21" s="41">
        <f>'ALS 10 BAZAR'!A21</f>
        <v>666</v>
      </c>
      <c r="B21" s="165" t="str">
        <f>'ALS 10 BAZAR'!B21:E21</f>
        <v>ARRANJO DE PAREDE 30X30 1 CAIXA</v>
      </c>
      <c r="C21" s="182"/>
      <c r="D21" s="182"/>
      <c r="E21" s="166"/>
      <c r="F21" s="42">
        <f>'ALS 10 BAZAR'!F21</f>
        <v>6</v>
      </c>
      <c r="G21" s="43">
        <f>'ALS 10 BAZAR'!G21</f>
        <v>0</v>
      </c>
      <c r="H21" s="39">
        <f t="shared" si="0"/>
        <v>0</v>
      </c>
      <c r="I21" s="39"/>
      <c r="J21" s="47"/>
      <c r="K21" s="49"/>
      <c r="L21" s="50"/>
      <c r="M21" s="165"/>
      <c r="N21" s="166"/>
      <c r="O21" s="167"/>
      <c r="P21" s="168"/>
      <c r="Q21" s="165"/>
      <c r="R21" s="166"/>
      <c r="S21" s="167"/>
      <c r="T21" s="168"/>
      <c r="U21" s="165"/>
      <c r="V21" s="166"/>
      <c r="W21" s="167"/>
      <c r="X21" s="168"/>
      <c r="Y21" s="165"/>
      <c r="Z21" s="166"/>
      <c r="AA21" s="167"/>
      <c r="AB21" s="168"/>
      <c r="AC21" s="165"/>
      <c r="AD21" s="166"/>
      <c r="AE21" s="167"/>
      <c r="AF21" s="168"/>
      <c r="AG21" s="165"/>
      <c r="AH21" s="166"/>
      <c r="AI21" s="167"/>
      <c r="AJ21" s="168"/>
      <c r="AK21" s="165"/>
      <c r="AL21" s="166"/>
      <c r="AM21" s="167"/>
      <c r="AN21" s="168"/>
      <c r="AO21" s="165"/>
      <c r="AP21" s="166"/>
      <c r="AQ21" s="167"/>
      <c r="AR21" s="168"/>
      <c r="AS21" s="165"/>
      <c r="AT21" s="166"/>
      <c r="AU21" s="167"/>
      <c r="AV21" s="168"/>
      <c r="AW21" s="23"/>
      <c r="AX21" s="23"/>
      <c r="AY21" s="23"/>
    </row>
    <row r="22" spans="1:51" s="44" customFormat="1" ht="22" customHeight="1" x14ac:dyDescent="0.2">
      <c r="A22" s="41">
        <f>'ALS 10 BAZAR'!A22</f>
        <v>667</v>
      </c>
      <c r="B22" s="165" t="str">
        <f>'ALS 10 BAZAR'!B22:E22</f>
        <v>ARRANJO DE PAREDE 40X30 1 CAIXA</v>
      </c>
      <c r="C22" s="182"/>
      <c r="D22" s="182"/>
      <c r="E22" s="166"/>
      <c r="F22" s="42">
        <f>'ALS 10 BAZAR'!F22</f>
        <v>6</v>
      </c>
      <c r="G22" s="43">
        <f>'ALS 10 BAZAR'!G22</f>
        <v>0</v>
      </c>
      <c r="H22" s="39">
        <f t="shared" si="0"/>
        <v>0</v>
      </c>
      <c r="I22" s="39"/>
      <c r="J22" s="47"/>
      <c r="K22" s="49"/>
      <c r="L22" s="50"/>
      <c r="M22" s="165"/>
      <c r="N22" s="166"/>
      <c r="O22" s="167"/>
      <c r="P22" s="168"/>
      <c r="Q22" s="165"/>
      <c r="R22" s="166"/>
      <c r="S22" s="167"/>
      <c r="T22" s="168"/>
      <c r="U22" s="165"/>
      <c r="V22" s="166"/>
      <c r="W22" s="167"/>
      <c r="X22" s="168"/>
      <c r="Y22" s="165"/>
      <c r="Z22" s="166"/>
      <c r="AA22" s="167"/>
      <c r="AB22" s="168"/>
      <c r="AC22" s="165"/>
      <c r="AD22" s="166"/>
      <c r="AE22" s="167"/>
      <c r="AF22" s="168"/>
      <c r="AG22" s="165"/>
      <c r="AH22" s="166"/>
      <c r="AI22" s="167"/>
      <c r="AJ22" s="168"/>
      <c r="AK22" s="165"/>
      <c r="AL22" s="166"/>
      <c r="AM22" s="167"/>
      <c r="AN22" s="168"/>
      <c r="AO22" s="165"/>
      <c r="AP22" s="166"/>
      <c r="AQ22" s="167"/>
      <c r="AR22" s="168"/>
      <c r="AS22" s="165"/>
      <c r="AT22" s="166"/>
      <c r="AU22" s="167"/>
      <c r="AV22" s="168"/>
      <c r="AW22" s="23"/>
      <c r="AX22" s="23"/>
      <c r="AY22" s="23"/>
    </row>
    <row r="23" spans="1:51" s="44" customFormat="1" ht="22" customHeight="1" x14ac:dyDescent="0.2">
      <c r="A23" s="41">
        <f>'ALS 10 BAZAR'!A23</f>
        <v>668</v>
      </c>
      <c r="B23" s="165" t="str">
        <f>'ALS 10 BAZAR'!B23:E23</f>
        <v>PRATELEIRA DE PAREDE</v>
      </c>
      <c r="C23" s="182"/>
      <c r="D23" s="182"/>
      <c r="E23" s="166"/>
      <c r="F23" s="42">
        <f>'ALS 10 BAZAR'!F23</f>
        <v>6</v>
      </c>
      <c r="G23" s="43">
        <f>'ALS 10 BAZAR'!G23</f>
        <v>0</v>
      </c>
      <c r="H23" s="39">
        <f t="shared" si="0"/>
        <v>0</v>
      </c>
      <c r="I23" s="39"/>
      <c r="J23" s="47"/>
      <c r="K23" s="49"/>
      <c r="L23" s="50"/>
      <c r="M23" s="165"/>
      <c r="N23" s="166"/>
      <c r="O23" s="167"/>
      <c r="P23" s="168"/>
      <c r="Q23" s="165"/>
      <c r="R23" s="166"/>
      <c r="S23" s="167"/>
      <c r="T23" s="168"/>
      <c r="U23" s="165"/>
      <c r="V23" s="166"/>
      <c r="W23" s="167"/>
      <c r="X23" s="168"/>
      <c r="Y23" s="165"/>
      <c r="Z23" s="166"/>
      <c r="AA23" s="167"/>
      <c r="AB23" s="168"/>
      <c r="AC23" s="165"/>
      <c r="AD23" s="166"/>
      <c r="AE23" s="167"/>
      <c r="AF23" s="168"/>
      <c r="AG23" s="165"/>
      <c r="AH23" s="166"/>
      <c r="AI23" s="167"/>
      <c r="AJ23" s="168"/>
      <c r="AK23" s="165"/>
      <c r="AL23" s="166"/>
      <c r="AM23" s="167"/>
      <c r="AN23" s="168"/>
      <c r="AO23" s="165"/>
      <c r="AP23" s="166"/>
      <c r="AQ23" s="167"/>
      <c r="AR23" s="168"/>
      <c r="AS23" s="165"/>
      <c r="AT23" s="166"/>
      <c r="AU23" s="167"/>
      <c r="AV23" s="168"/>
      <c r="AW23" s="23"/>
      <c r="AX23" s="23"/>
      <c r="AY23" s="23"/>
    </row>
    <row r="24" spans="1:51" s="44" customFormat="1" ht="22" customHeight="1" x14ac:dyDescent="0.2">
      <c r="A24" s="41">
        <f>'ALS 10 BAZAR'!A24</f>
        <v>669</v>
      </c>
      <c r="B24" s="165" t="str">
        <f>'ALS 10 BAZAR'!B24:E24</f>
        <v>CAIXA DE PAO</v>
      </c>
      <c r="C24" s="182"/>
      <c r="D24" s="182"/>
      <c r="E24" s="166"/>
      <c r="F24" s="42">
        <f>'ALS 10 BAZAR'!F24</f>
        <v>6</v>
      </c>
      <c r="G24" s="43">
        <f>'ALS 10 BAZAR'!G24</f>
        <v>0</v>
      </c>
      <c r="H24" s="39">
        <f t="shared" si="0"/>
        <v>0</v>
      </c>
      <c r="I24" s="39"/>
      <c r="J24" s="47"/>
      <c r="K24" s="49"/>
      <c r="L24" s="50"/>
      <c r="M24" s="165"/>
      <c r="N24" s="166"/>
      <c r="O24" s="167"/>
      <c r="P24" s="168"/>
      <c r="Q24" s="165"/>
      <c r="R24" s="166"/>
      <c r="S24" s="167"/>
      <c r="T24" s="168"/>
      <c r="U24" s="165"/>
      <c r="V24" s="166"/>
      <c r="W24" s="167"/>
      <c r="X24" s="168"/>
      <c r="Y24" s="165"/>
      <c r="Z24" s="166"/>
      <c r="AA24" s="167"/>
      <c r="AB24" s="168"/>
      <c r="AC24" s="165"/>
      <c r="AD24" s="166"/>
      <c r="AE24" s="167"/>
      <c r="AF24" s="168"/>
      <c r="AG24" s="165"/>
      <c r="AH24" s="166"/>
      <c r="AI24" s="167"/>
      <c r="AJ24" s="168"/>
      <c r="AK24" s="165"/>
      <c r="AL24" s="166"/>
      <c r="AM24" s="167"/>
      <c r="AN24" s="168"/>
      <c r="AO24" s="165"/>
      <c r="AP24" s="166"/>
      <c r="AQ24" s="167"/>
      <c r="AR24" s="168"/>
      <c r="AS24" s="165"/>
      <c r="AT24" s="166"/>
      <c r="AU24" s="167"/>
      <c r="AV24" s="168"/>
      <c r="AW24" s="23"/>
      <c r="AX24" s="23"/>
      <c r="AY24" s="23"/>
    </row>
    <row r="25" spans="1:51" s="44" customFormat="1" ht="22" customHeight="1" x14ac:dyDescent="0.2">
      <c r="A25" s="41">
        <f>'ALS 10 BAZAR'!A25</f>
        <v>1418</v>
      </c>
      <c r="B25" s="165" t="str">
        <f>'ALS 10 BAZAR'!B25:E25</f>
        <v>KIT 2 QUADROS</v>
      </c>
      <c r="C25" s="182"/>
      <c r="D25" s="182"/>
      <c r="E25" s="166"/>
      <c r="F25" s="42">
        <f>'ALS 10 BAZAR'!F25</f>
        <v>6</v>
      </c>
      <c r="G25" s="43">
        <f>'ALS 10 BAZAR'!G25</f>
        <v>0</v>
      </c>
      <c r="H25" s="39">
        <f t="shared" si="0"/>
        <v>0</v>
      </c>
      <c r="I25" s="39"/>
      <c r="J25" s="47"/>
      <c r="K25" s="49"/>
      <c r="L25" s="50"/>
      <c r="M25" s="165"/>
      <c r="N25" s="166"/>
      <c r="O25" s="167"/>
      <c r="P25" s="168"/>
      <c r="Q25" s="165"/>
      <c r="R25" s="166"/>
      <c r="S25" s="167"/>
      <c r="T25" s="168"/>
      <c r="U25" s="165"/>
      <c r="V25" s="166"/>
      <c r="W25" s="167"/>
      <c r="X25" s="168"/>
      <c r="Y25" s="165"/>
      <c r="Z25" s="166"/>
      <c r="AA25" s="167"/>
      <c r="AB25" s="168"/>
      <c r="AC25" s="165"/>
      <c r="AD25" s="166"/>
      <c r="AE25" s="167"/>
      <c r="AF25" s="168"/>
      <c r="AG25" s="165"/>
      <c r="AH25" s="166"/>
      <c r="AI25" s="167"/>
      <c r="AJ25" s="168"/>
      <c r="AK25" s="165"/>
      <c r="AL25" s="166"/>
      <c r="AM25" s="167"/>
      <c r="AN25" s="168"/>
      <c r="AO25" s="165"/>
      <c r="AP25" s="166"/>
      <c r="AQ25" s="167"/>
      <c r="AR25" s="168"/>
      <c r="AS25" s="165"/>
      <c r="AT25" s="166"/>
      <c r="AU25" s="167"/>
      <c r="AV25" s="168"/>
      <c r="AW25" s="23"/>
      <c r="AX25" s="23"/>
      <c r="AY25" s="23"/>
    </row>
    <row r="26" spans="1:51" s="44" customFormat="1" ht="22" customHeight="1" x14ac:dyDescent="0.2">
      <c r="A26" s="41">
        <f>'ALS 10 BAZAR'!A26</f>
        <v>1425</v>
      </c>
      <c r="B26" s="165" t="str">
        <f>'ALS 10 BAZAR'!B26:E26</f>
        <v>CALENDARIO PERMANETE</v>
      </c>
      <c r="C26" s="182"/>
      <c r="D26" s="182"/>
      <c r="E26" s="166"/>
      <c r="F26" s="42">
        <f>'ALS 10 BAZAR'!F26</f>
        <v>6</v>
      </c>
      <c r="G26" s="43">
        <f>'ALS 10 BAZAR'!G26</f>
        <v>0</v>
      </c>
      <c r="H26" s="39">
        <f t="shared" si="0"/>
        <v>0</v>
      </c>
      <c r="I26" s="39"/>
      <c r="J26" s="47"/>
      <c r="K26" s="49"/>
      <c r="L26" s="50"/>
      <c r="M26" s="165"/>
      <c r="N26" s="166"/>
      <c r="O26" s="167"/>
      <c r="P26" s="168"/>
      <c r="Q26" s="165"/>
      <c r="R26" s="166"/>
      <c r="S26" s="167"/>
      <c r="T26" s="168"/>
      <c r="U26" s="165"/>
      <c r="V26" s="166"/>
      <c r="W26" s="167"/>
      <c r="X26" s="168"/>
      <c r="Y26" s="165"/>
      <c r="Z26" s="166"/>
      <c r="AA26" s="167"/>
      <c r="AB26" s="168"/>
      <c r="AC26" s="165"/>
      <c r="AD26" s="166"/>
      <c r="AE26" s="167"/>
      <c r="AF26" s="168"/>
      <c r="AG26" s="165"/>
      <c r="AH26" s="166"/>
      <c r="AI26" s="167"/>
      <c r="AJ26" s="168"/>
      <c r="AK26" s="165"/>
      <c r="AL26" s="166"/>
      <c r="AM26" s="167"/>
      <c r="AN26" s="168"/>
      <c r="AO26" s="165"/>
      <c r="AP26" s="166"/>
      <c r="AQ26" s="167"/>
      <c r="AR26" s="168"/>
      <c r="AS26" s="165"/>
      <c r="AT26" s="166"/>
      <c r="AU26" s="167"/>
      <c r="AV26" s="168"/>
      <c r="AW26" s="23"/>
      <c r="AX26" s="23"/>
      <c r="AY26" s="23"/>
    </row>
    <row r="27" spans="1:51" s="44" customFormat="1" ht="22" customHeight="1" x14ac:dyDescent="0.2">
      <c r="A27" s="41">
        <f>'ALS 10 BAZAR'!A27</f>
        <v>1370</v>
      </c>
      <c r="B27" s="165" t="str">
        <f>'ALS 10 BAZAR'!B27:E27</f>
        <v>REGUA GIRAFA</v>
      </c>
      <c r="C27" s="182"/>
      <c r="D27" s="182"/>
      <c r="E27" s="166"/>
      <c r="F27" s="42">
        <f>'ALS 10 BAZAR'!F27</f>
        <v>6</v>
      </c>
      <c r="G27" s="43">
        <f>'ALS 10 BAZAR'!G27</f>
        <v>0</v>
      </c>
      <c r="H27" s="39">
        <f t="shared" si="0"/>
        <v>0</v>
      </c>
      <c r="I27" s="39"/>
      <c r="J27" s="47"/>
      <c r="K27" s="49"/>
      <c r="L27" s="50"/>
      <c r="M27" s="165"/>
      <c r="N27" s="166"/>
      <c r="O27" s="167"/>
      <c r="P27" s="168"/>
      <c r="Q27" s="165"/>
      <c r="R27" s="166"/>
      <c r="S27" s="167"/>
      <c r="T27" s="168"/>
      <c r="U27" s="165"/>
      <c r="V27" s="166"/>
      <c r="W27" s="167"/>
      <c r="X27" s="168"/>
      <c r="Y27" s="165"/>
      <c r="Z27" s="166"/>
      <c r="AA27" s="167"/>
      <c r="AB27" s="168"/>
      <c r="AC27" s="165"/>
      <c r="AD27" s="166"/>
      <c r="AE27" s="167"/>
      <c r="AF27" s="168"/>
      <c r="AG27" s="165"/>
      <c r="AH27" s="166"/>
      <c r="AI27" s="167"/>
      <c r="AJ27" s="168"/>
      <c r="AK27" s="165"/>
      <c r="AL27" s="166"/>
      <c r="AM27" s="167"/>
      <c r="AN27" s="168"/>
      <c r="AO27" s="165"/>
      <c r="AP27" s="166"/>
      <c r="AQ27" s="167"/>
      <c r="AR27" s="168"/>
      <c r="AS27" s="165"/>
      <c r="AT27" s="166"/>
      <c r="AU27" s="167"/>
      <c r="AV27" s="168"/>
      <c r="AW27" s="23"/>
      <c r="AX27" s="23"/>
      <c r="AY27" s="23"/>
    </row>
    <row r="28" spans="1:51" s="44" customFormat="1" ht="22" customHeight="1" x14ac:dyDescent="0.2">
      <c r="A28" s="41">
        <f>'ALS 10 BAZAR'!A28</f>
        <v>1423</v>
      </c>
      <c r="B28" s="165" t="str">
        <f>'ALS 10 BAZAR'!B28:E28</f>
        <v>ENFEITE DE PORTA SETAS</v>
      </c>
      <c r="C28" s="182"/>
      <c r="D28" s="182"/>
      <c r="E28" s="166"/>
      <c r="F28" s="42">
        <f>'ALS 10 BAZAR'!F28</f>
        <v>6</v>
      </c>
      <c r="G28" s="43">
        <f>'ALS 10 BAZAR'!G28</f>
        <v>0</v>
      </c>
      <c r="H28" s="39">
        <f t="shared" si="0"/>
        <v>0</v>
      </c>
      <c r="I28" s="39"/>
      <c r="J28" s="47"/>
      <c r="K28" s="49"/>
      <c r="L28" s="50"/>
      <c r="M28" s="165"/>
      <c r="N28" s="166"/>
      <c r="O28" s="167"/>
      <c r="P28" s="168"/>
      <c r="Q28" s="165"/>
      <c r="R28" s="166"/>
      <c r="S28" s="167"/>
      <c r="T28" s="168"/>
      <c r="U28" s="165"/>
      <c r="V28" s="166"/>
      <c r="W28" s="167"/>
      <c r="X28" s="168"/>
      <c r="Y28" s="165"/>
      <c r="Z28" s="166"/>
      <c r="AA28" s="167"/>
      <c r="AB28" s="168"/>
      <c r="AC28" s="165"/>
      <c r="AD28" s="166"/>
      <c r="AE28" s="167"/>
      <c r="AF28" s="168"/>
      <c r="AG28" s="165"/>
      <c r="AH28" s="166"/>
      <c r="AI28" s="167"/>
      <c r="AJ28" s="168"/>
      <c r="AK28" s="165"/>
      <c r="AL28" s="166"/>
      <c r="AM28" s="167"/>
      <c r="AN28" s="168"/>
      <c r="AO28" s="165"/>
      <c r="AP28" s="166"/>
      <c r="AQ28" s="167"/>
      <c r="AR28" s="168"/>
      <c r="AS28" s="165"/>
      <c r="AT28" s="166"/>
      <c r="AU28" s="167"/>
      <c r="AV28" s="168"/>
      <c r="AW28" s="23"/>
      <c r="AX28" s="23"/>
      <c r="AY28" s="23"/>
    </row>
    <row r="29" spans="1:51" s="44" customFormat="1" ht="22" customHeight="1" x14ac:dyDescent="0.2">
      <c r="A29" s="41">
        <f>'ALS 10 BAZAR'!A29</f>
        <v>1419</v>
      </c>
      <c r="B29" s="165" t="str">
        <f>'ALS 10 BAZAR'!B29:E29</f>
        <v>ENFEITE DE PORTA MAIOR PRESENTE</v>
      </c>
      <c r="C29" s="182"/>
      <c r="D29" s="182"/>
      <c r="E29" s="166"/>
      <c r="F29" s="42">
        <f>'ALS 10 BAZAR'!F29</f>
        <v>6</v>
      </c>
      <c r="G29" s="43">
        <f>'ALS 10 BAZAR'!G29</f>
        <v>0</v>
      </c>
      <c r="H29" s="39">
        <f t="shared" si="0"/>
        <v>0</v>
      </c>
      <c r="I29" s="39"/>
      <c r="J29" s="47"/>
      <c r="K29" s="49"/>
      <c r="L29" s="50"/>
      <c r="M29" s="165"/>
      <c r="N29" s="166"/>
      <c r="O29" s="167"/>
      <c r="P29" s="168"/>
      <c r="Q29" s="165"/>
      <c r="R29" s="166"/>
      <c r="S29" s="167"/>
      <c r="T29" s="168"/>
      <c r="U29" s="165"/>
      <c r="V29" s="166"/>
      <c r="W29" s="167"/>
      <c r="X29" s="168"/>
      <c r="Y29" s="165"/>
      <c r="Z29" s="166"/>
      <c r="AA29" s="167"/>
      <c r="AB29" s="168"/>
      <c r="AC29" s="165"/>
      <c r="AD29" s="166"/>
      <c r="AE29" s="167"/>
      <c r="AF29" s="168"/>
      <c r="AG29" s="165"/>
      <c r="AH29" s="166"/>
      <c r="AI29" s="167"/>
      <c r="AJ29" s="168"/>
      <c r="AK29" s="165"/>
      <c r="AL29" s="166"/>
      <c r="AM29" s="167"/>
      <c r="AN29" s="168"/>
      <c r="AO29" s="165"/>
      <c r="AP29" s="166"/>
      <c r="AQ29" s="167"/>
      <c r="AR29" s="168"/>
      <c r="AS29" s="165"/>
      <c r="AT29" s="166"/>
      <c r="AU29" s="167"/>
      <c r="AV29" s="168"/>
      <c r="AW29" s="23"/>
      <c r="AX29" s="23"/>
      <c r="AY29" s="23"/>
    </row>
    <row r="30" spans="1:51" s="44" customFormat="1" ht="22" customHeight="1" x14ac:dyDescent="0.2">
      <c r="A30" s="41">
        <f>'ALS 10 BAZAR'!A30</f>
        <v>1424</v>
      </c>
      <c r="B30" s="165" t="str">
        <f>'ALS 10 BAZAR'!B30:E30</f>
        <v>ENFEITE DE PORTA HOME</v>
      </c>
      <c r="C30" s="182"/>
      <c r="D30" s="182"/>
      <c r="E30" s="166"/>
      <c r="F30" s="42">
        <f>'ALS 10 BAZAR'!F30</f>
        <v>6</v>
      </c>
      <c r="G30" s="43">
        <f>'ALS 10 BAZAR'!G30</f>
        <v>0</v>
      </c>
      <c r="H30" s="39">
        <f t="shared" si="0"/>
        <v>0</v>
      </c>
      <c r="I30" s="39"/>
      <c r="J30" s="47"/>
      <c r="K30" s="49"/>
      <c r="L30" s="50"/>
      <c r="M30" s="165"/>
      <c r="N30" s="166"/>
      <c r="O30" s="167"/>
      <c r="P30" s="168"/>
      <c r="Q30" s="165"/>
      <c r="R30" s="166"/>
      <c r="S30" s="167"/>
      <c r="T30" s="168"/>
      <c r="U30" s="165"/>
      <c r="V30" s="166"/>
      <c r="W30" s="167"/>
      <c r="X30" s="168"/>
      <c r="Y30" s="165"/>
      <c r="Z30" s="166"/>
      <c r="AA30" s="167"/>
      <c r="AB30" s="168"/>
      <c r="AC30" s="165"/>
      <c r="AD30" s="166"/>
      <c r="AE30" s="167"/>
      <c r="AF30" s="168"/>
      <c r="AG30" s="165"/>
      <c r="AH30" s="166"/>
      <c r="AI30" s="167"/>
      <c r="AJ30" s="168"/>
      <c r="AK30" s="165"/>
      <c r="AL30" s="166"/>
      <c r="AM30" s="167"/>
      <c r="AN30" s="168"/>
      <c r="AO30" s="165"/>
      <c r="AP30" s="166"/>
      <c r="AQ30" s="167"/>
      <c r="AR30" s="168"/>
      <c r="AS30" s="165"/>
      <c r="AT30" s="166"/>
      <c r="AU30" s="167"/>
      <c r="AV30" s="168"/>
      <c r="AW30" s="23"/>
      <c r="AX30" s="23"/>
      <c r="AY30" s="23"/>
    </row>
    <row r="31" spans="1:51" s="44" customFormat="1" ht="22" customHeight="1" x14ac:dyDescent="0.2">
      <c r="A31" s="41">
        <f>'ALS 10 BAZAR'!A31</f>
        <v>1421</v>
      </c>
      <c r="B31" s="165" t="str">
        <f>'ALS 10 BAZAR'!B31:E31</f>
        <v>ENFEITE DE PORTA CORACAO</v>
      </c>
      <c r="C31" s="182"/>
      <c r="D31" s="182"/>
      <c r="E31" s="166"/>
      <c r="F31" s="42">
        <f>'ALS 10 BAZAR'!F31</f>
        <v>6</v>
      </c>
      <c r="G31" s="43">
        <f>'ALS 10 BAZAR'!G31</f>
        <v>0</v>
      </c>
      <c r="H31" s="39">
        <f t="shared" si="0"/>
        <v>0</v>
      </c>
      <c r="I31" s="39"/>
      <c r="J31" s="47"/>
      <c r="K31" s="49"/>
      <c r="L31" s="50"/>
      <c r="M31" s="165"/>
      <c r="N31" s="166"/>
      <c r="O31" s="167"/>
      <c r="P31" s="168"/>
      <c r="Q31" s="165"/>
      <c r="R31" s="166"/>
      <c r="S31" s="167"/>
      <c r="T31" s="168"/>
      <c r="U31" s="165"/>
      <c r="V31" s="166"/>
      <c r="W31" s="167"/>
      <c r="X31" s="168"/>
      <c r="Y31" s="165"/>
      <c r="Z31" s="166"/>
      <c r="AA31" s="167"/>
      <c r="AB31" s="168"/>
      <c r="AC31" s="165"/>
      <c r="AD31" s="166"/>
      <c r="AE31" s="167"/>
      <c r="AF31" s="168"/>
      <c r="AG31" s="165"/>
      <c r="AH31" s="166"/>
      <c r="AI31" s="167"/>
      <c r="AJ31" s="168"/>
      <c r="AK31" s="165"/>
      <c r="AL31" s="166"/>
      <c r="AM31" s="167"/>
      <c r="AN31" s="168"/>
      <c r="AO31" s="165"/>
      <c r="AP31" s="166"/>
      <c r="AQ31" s="167"/>
      <c r="AR31" s="168"/>
      <c r="AS31" s="165"/>
      <c r="AT31" s="166"/>
      <c r="AU31" s="167"/>
      <c r="AV31" s="168"/>
      <c r="AW31" s="23"/>
      <c r="AX31" s="23"/>
      <c r="AY31" s="23"/>
    </row>
    <row r="32" spans="1:51" s="44" customFormat="1" ht="22" customHeight="1" x14ac:dyDescent="0.2">
      <c r="A32" s="41">
        <f>'ALS 10 BAZAR'!A32</f>
        <v>1422</v>
      </c>
      <c r="B32" s="165" t="str">
        <f>'ALS 10 BAZAR'!B32:E32</f>
        <v>ENFEITE DE PORTA GRATIDAO</v>
      </c>
      <c r="C32" s="182"/>
      <c r="D32" s="182"/>
      <c r="E32" s="166"/>
      <c r="F32" s="42">
        <f>'ALS 10 BAZAR'!F32</f>
        <v>6</v>
      </c>
      <c r="G32" s="43">
        <f>'ALS 10 BAZAR'!G32</f>
        <v>0</v>
      </c>
      <c r="H32" s="39">
        <f t="shared" si="0"/>
        <v>0</v>
      </c>
      <c r="I32" s="39"/>
      <c r="J32" s="47"/>
      <c r="K32" s="49"/>
      <c r="L32" s="50"/>
      <c r="M32" s="165"/>
      <c r="N32" s="166"/>
      <c r="O32" s="167"/>
      <c r="P32" s="168"/>
      <c r="Q32" s="165"/>
      <c r="R32" s="166"/>
      <c r="S32" s="167"/>
      <c r="T32" s="168"/>
      <c r="U32" s="165"/>
      <c r="V32" s="166"/>
      <c r="W32" s="167"/>
      <c r="X32" s="168"/>
      <c r="Y32" s="165"/>
      <c r="Z32" s="166"/>
      <c r="AA32" s="167"/>
      <c r="AB32" s="168"/>
      <c r="AC32" s="165"/>
      <c r="AD32" s="166"/>
      <c r="AE32" s="167"/>
      <c r="AF32" s="168"/>
      <c r="AG32" s="165"/>
      <c r="AH32" s="166"/>
      <c r="AI32" s="167"/>
      <c r="AJ32" s="168"/>
      <c r="AK32" s="165"/>
      <c r="AL32" s="166"/>
      <c r="AM32" s="167"/>
      <c r="AN32" s="168"/>
      <c r="AO32" s="165"/>
      <c r="AP32" s="166"/>
      <c r="AQ32" s="167"/>
      <c r="AR32" s="168"/>
      <c r="AS32" s="165"/>
      <c r="AT32" s="166"/>
      <c r="AU32" s="167"/>
      <c r="AV32" s="168"/>
      <c r="AW32" s="23"/>
      <c r="AX32" s="23"/>
      <c r="AY32" s="23"/>
    </row>
    <row r="33" spans="1:51" s="44" customFormat="1" ht="22" customHeight="1" x14ac:dyDescent="0.2">
      <c r="A33" s="41">
        <f>'ALS 10 BAZAR'!A33</f>
        <v>1420</v>
      </c>
      <c r="B33" s="165" t="str">
        <f>'ALS 10 BAZAR'!B33:E33</f>
        <v>ENFEITE DE PORTA PALAVRAS</v>
      </c>
      <c r="C33" s="182"/>
      <c r="D33" s="182"/>
      <c r="E33" s="166"/>
      <c r="F33" s="42">
        <f>'ALS 10 BAZAR'!F33</f>
        <v>6</v>
      </c>
      <c r="G33" s="43">
        <f>'ALS 10 BAZAR'!G33</f>
        <v>0</v>
      </c>
      <c r="H33" s="39">
        <f t="shared" si="0"/>
        <v>0</v>
      </c>
      <c r="I33" s="39"/>
      <c r="J33" s="47"/>
      <c r="K33" s="49"/>
      <c r="L33" s="50"/>
      <c r="M33" s="165"/>
      <c r="N33" s="166"/>
      <c r="O33" s="167"/>
      <c r="P33" s="168"/>
      <c r="Q33" s="165"/>
      <c r="R33" s="166"/>
      <c r="S33" s="167"/>
      <c r="T33" s="168"/>
      <c r="U33" s="165"/>
      <c r="V33" s="166"/>
      <c r="W33" s="167"/>
      <c r="X33" s="168"/>
      <c r="Y33" s="165"/>
      <c r="Z33" s="166"/>
      <c r="AA33" s="167"/>
      <c r="AB33" s="168"/>
      <c r="AC33" s="165"/>
      <c r="AD33" s="166"/>
      <c r="AE33" s="167"/>
      <c r="AF33" s="168"/>
      <c r="AG33" s="165"/>
      <c r="AH33" s="166"/>
      <c r="AI33" s="167"/>
      <c r="AJ33" s="168"/>
      <c r="AK33" s="165"/>
      <c r="AL33" s="166"/>
      <c r="AM33" s="167"/>
      <c r="AN33" s="168"/>
      <c r="AO33" s="165"/>
      <c r="AP33" s="166"/>
      <c r="AQ33" s="167"/>
      <c r="AR33" s="168"/>
      <c r="AS33" s="165"/>
      <c r="AT33" s="166"/>
      <c r="AU33" s="167"/>
      <c r="AV33" s="168"/>
      <c r="AW33" s="23"/>
      <c r="AX33" s="23"/>
      <c r="AY33" s="23"/>
    </row>
    <row r="34" spans="1:51" s="44" customFormat="1" ht="22" customHeight="1" x14ac:dyDescent="0.2">
      <c r="A34" s="41">
        <f>'ALS 10 BAZAR'!A34</f>
        <v>1893</v>
      </c>
      <c r="B34" s="165" t="str">
        <f>'ALS 10 BAZAR'!B34:E34</f>
        <v>COFRE DESAFIO 52 SEMANAS</v>
      </c>
      <c r="C34" s="182"/>
      <c r="D34" s="182"/>
      <c r="E34" s="166"/>
      <c r="F34" s="42">
        <f>'ALS 10 BAZAR'!F34</f>
        <v>6</v>
      </c>
      <c r="G34" s="43">
        <f>'ALS 10 BAZAR'!G34</f>
        <v>0</v>
      </c>
      <c r="H34" s="39">
        <f t="shared" si="0"/>
        <v>0</v>
      </c>
      <c r="I34" s="39"/>
      <c r="J34" s="47"/>
      <c r="K34" s="49"/>
      <c r="L34" s="50"/>
      <c r="M34" s="165"/>
      <c r="N34" s="166"/>
      <c r="O34" s="167"/>
      <c r="P34" s="168"/>
      <c r="Q34" s="165"/>
      <c r="R34" s="166"/>
      <c r="S34" s="167"/>
      <c r="T34" s="168"/>
      <c r="U34" s="165"/>
      <c r="V34" s="166"/>
      <c r="W34" s="167"/>
      <c r="X34" s="168"/>
      <c r="Y34" s="165"/>
      <c r="Z34" s="166"/>
      <c r="AA34" s="167"/>
      <c r="AB34" s="168"/>
      <c r="AC34" s="165"/>
      <c r="AD34" s="166"/>
      <c r="AE34" s="167"/>
      <c r="AF34" s="168"/>
      <c r="AG34" s="165"/>
      <c r="AH34" s="166"/>
      <c r="AI34" s="167"/>
      <c r="AJ34" s="168"/>
      <c r="AK34" s="165"/>
      <c r="AL34" s="166"/>
      <c r="AM34" s="167"/>
      <c r="AN34" s="168"/>
      <c r="AO34" s="165"/>
      <c r="AP34" s="166"/>
      <c r="AQ34" s="167"/>
      <c r="AR34" s="168"/>
      <c r="AS34" s="165"/>
      <c r="AT34" s="166"/>
      <c r="AU34" s="167"/>
      <c r="AV34" s="168"/>
      <c r="AW34" s="23"/>
      <c r="AX34" s="23"/>
      <c r="AY34" s="23"/>
    </row>
    <row r="35" spans="1:51" s="44" customFormat="1" ht="22" customHeight="1" x14ac:dyDescent="0.2">
      <c r="A35" s="41">
        <f>'ALS 10 BAZAR'!A35</f>
        <v>1365</v>
      </c>
      <c r="B35" s="165" t="str">
        <f>'ALS 10 BAZAR'!B35:E35</f>
        <v>PORTA CHALEIRA CHA</v>
      </c>
      <c r="C35" s="182"/>
      <c r="D35" s="182"/>
      <c r="E35" s="166"/>
      <c r="F35" s="42">
        <f>'ALS 10 BAZAR'!F35</f>
        <v>6</v>
      </c>
      <c r="G35" s="43">
        <f>'ALS 10 BAZAR'!G35</f>
        <v>0</v>
      </c>
      <c r="H35" s="39">
        <f t="shared" si="0"/>
        <v>0</v>
      </c>
      <c r="I35" s="39"/>
      <c r="J35" s="47"/>
      <c r="K35" s="49"/>
      <c r="L35" s="50"/>
      <c r="M35" s="165"/>
      <c r="N35" s="166"/>
      <c r="O35" s="167"/>
      <c r="P35" s="168"/>
      <c r="Q35" s="165"/>
      <c r="R35" s="166"/>
      <c r="S35" s="167"/>
      <c r="T35" s="168"/>
      <c r="U35" s="165"/>
      <c r="V35" s="166"/>
      <c r="W35" s="167"/>
      <c r="X35" s="168"/>
      <c r="Y35" s="165"/>
      <c r="Z35" s="166"/>
      <c r="AA35" s="167"/>
      <c r="AB35" s="168"/>
      <c r="AC35" s="165"/>
      <c r="AD35" s="166"/>
      <c r="AE35" s="167"/>
      <c r="AF35" s="168"/>
      <c r="AG35" s="165"/>
      <c r="AH35" s="166"/>
      <c r="AI35" s="167"/>
      <c r="AJ35" s="168"/>
      <c r="AK35" s="165"/>
      <c r="AL35" s="166"/>
      <c r="AM35" s="167"/>
      <c r="AN35" s="168"/>
      <c r="AO35" s="165"/>
      <c r="AP35" s="166"/>
      <c r="AQ35" s="167"/>
      <c r="AR35" s="168"/>
      <c r="AS35" s="165"/>
      <c r="AT35" s="166"/>
      <c r="AU35" s="167"/>
      <c r="AV35" s="168"/>
      <c r="AW35" s="23"/>
      <c r="AX35" s="23"/>
      <c r="AY35" s="23"/>
    </row>
    <row r="36" spans="1:51" s="44" customFormat="1" ht="22" customHeight="1" x14ac:dyDescent="0.2">
      <c r="A36" s="41">
        <f>'ALS 10 BAZAR'!A36</f>
        <v>1892</v>
      </c>
      <c r="B36" s="165" t="str">
        <f>'ALS 10 BAZAR'!B36:E36</f>
        <v>PORTA CHAVES CIDADE COM PORTA TRECO</v>
      </c>
      <c r="C36" s="182"/>
      <c r="D36" s="182"/>
      <c r="E36" s="166"/>
      <c r="F36" s="42">
        <f>'ALS 10 BAZAR'!F36</f>
        <v>6</v>
      </c>
      <c r="G36" s="43">
        <f>'ALS 10 BAZAR'!G36</f>
        <v>0</v>
      </c>
      <c r="H36" s="39">
        <f t="shared" si="0"/>
        <v>0</v>
      </c>
      <c r="I36" s="39"/>
      <c r="J36" s="47"/>
      <c r="K36" s="49"/>
      <c r="L36" s="50"/>
      <c r="M36" s="165"/>
      <c r="N36" s="166"/>
      <c r="O36" s="167"/>
      <c r="P36" s="168"/>
      <c r="Q36" s="165"/>
      <c r="R36" s="166"/>
      <c r="S36" s="167"/>
      <c r="T36" s="168"/>
      <c r="U36" s="165"/>
      <c r="V36" s="166"/>
      <c r="W36" s="167"/>
      <c r="X36" s="168"/>
      <c r="Y36" s="165"/>
      <c r="Z36" s="166"/>
      <c r="AA36" s="167"/>
      <c r="AB36" s="168"/>
      <c r="AC36" s="165"/>
      <c r="AD36" s="166"/>
      <c r="AE36" s="167"/>
      <c r="AF36" s="168"/>
      <c r="AG36" s="165"/>
      <c r="AH36" s="166"/>
      <c r="AI36" s="167"/>
      <c r="AJ36" s="168"/>
      <c r="AK36" s="165"/>
      <c r="AL36" s="166"/>
      <c r="AM36" s="167"/>
      <c r="AN36" s="168"/>
      <c r="AO36" s="165"/>
      <c r="AP36" s="166"/>
      <c r="AQ36" s="167"/>
      <c r="AR36" s="168"/>
      <c r="AS36" s="165"/>
      <c r="AT36" s="166"/>
      <c r="AU36" s="167"/>
      <c r="AV36" s="168"/>
      <c r="AW36" s="23"/>
      <c r="AX36" s="23"/>
      <c r="AY36" s="23"/>
    </row>
    <row r="37" spans="1:51" s="44" customFormat="1" ht="22" customHeight="1" x14ac:dyDescent="0.2">
      <c r="A37" s="41">
        <f>'ALS 10 BAZAR'!A37</f>
        <v>1887</v>
      </c>
      <c r="B37" s="165" t="str">
        <f>'ALS 10 BAZAR'!B37:E37</f>
        <v>PORTA CHAVES CASA</v>
      </c>
      <c r="C37" s="182"/>
      <c r="D37" s="182"/>
      <c r="E37" s="166"/>
      <c r="F37" s="42">
        <f>'ALS 10 BAZAR'!F37</f>
        <v>6</v>
      </c>
      <c r="G37" s="43">
        <f>'ALS 10 BAZAR'!G37</f>
        <v>0</v>
      </c>
      <c r="H37" s="39">
        <f t="shared" si="0"/>
        <v>0</v>
      </c>
      <c r="I37" s="39"/>
      <c r="J37" s="47"/>
      <c r="K37" s="49"/>
      <c r="L37" s="50"/>
      <c r="M37" s="165"/>
      <c r="N37" s="166"/>
      <c r="O37" s="167"/>
      <c r="P37" s="168"/>
      <c r="Q37" s="165"/>
      <c r="R37" s="166"/>
      <c r="S37" s="167"/>
      <c r="T37" s="168"/>
      <c r="U37" s="165"/>
      <c r="V37" s="166"/>
      <c r="W37" s="167"/>
      <c r="X37" s="168"/>
      <c r="Y37" s="165"/>
      <c r="Z37" s="166"/>
      <c r="AA37" s="167"/>
      <c r="AB37" s="168"/>
      <c r="AC37" s="165"/>
      <c r="AD37" s="166"/>
      <c r="AE37" s="167"/>
      <c r="AF37" s="168"/>
      <c r="AG37" s="165"/>
      <c r="AH37" s="166"/>
      <c r="AI37" s="167"/>
      <c r="AJ37" s="168"/>
      <c r="AK37" s="165"/>
      <c r="AL37" s="166"/>
      <c r="AM37" s="167"/>
      <c r="AN37" s="168"/>
      <c r="AO37" s="165"/>
      <c r="AP37" s="166"/>
      <c r="AQ37" s="167"/>
      <c r="AR37" s="168"/>
      <c r="AS37" s="165"/>
      <c r="AT37" s="166"/>
      <c r="AU37" s="167"/>
      <c r="AV37" s="168"/>
      <c r="AW37" s="23"/>
      <c r="AX37" s="23"/>
      <c r="AY37" s="23"/>
    </row>
    <row r="38" spans="1:51" s="44" customFormat="1" ht="22" customHeight="1" x14ac:dyDescent="0.2">
      <c r="A38" s="41">
        <f>'ALS 10 BAZAR'!A38</f>
        <v>996</v>
      </c>
      <c r="B38" s="165" t="str">
        <f>'ALS 10 BAZAR'!B38:E38</f>
        <v>PORTA BARALHO</v>
      </c>
      <c r="C38" s="182"/>
      <c r="D38" s="182"/>
      <c r="E38" s="166"/>
      <c r="F38" s="42">
        <f>'ALS 10 BAZAR'!F38</f>
        <v>6</v>
      </c>
      <c r="G38" s="43">
        <f>'ALS 10 BAZAR'!G38</f>
        <v>0</v>
      </c>
      <c r="H38" s="39">
        <f t="shared" si="0"/>
        <v>0</v>
      </c>
      <c r="I38" s="39"/>
      <c r="J38" s="47"/>
      <c r="K38" s="49"/>
      <c r="L38" s="50"/>
      <c r="M38" s="165"/>
      <c r="N38" s="166"/>
      <c r="O38" s="167"/>
      <c r="P38" s="168"/>
      <c r="Q38" s="165"/>
      <c r="R38" s="166"/>
      <c r="S38" s="167"/>
      <c r="T38" s="168"/>
      <c r="U38" s="165"/>
      <c r="V38" s="166"/>
      <c r="W38" s="167"/>
      <c r="X38" s="168"/>
      <c r="Y38" s="165"/>
      <c r="Z38" s="166"/>
      <c r="AA38" s="167"/>
      <c r="AB38" s="168"/>
      <c r="AC38" s="165"/>
      <c r="AD38" s="166"/>
      <c r="AE38" s="167"/>
      <c r="AF38" s="168"/>
      <c r="AG38" s="165"/>
      <c r="AH38" s="166"/>
      <c r="AI38" s="167"/>
      <c r="AJ38" s="168"/>
      <c r="AK38" s="165"/>
      <c r="AL38" s="166"/>
      <c r="AM38" s="167"/>
      <c r="AN38" s="168"/>
      <c r="AO38" s="165"/>
      <c r="AP38" s="166"/>
      <c r="AQ38" s="167"/>
      <c r="AR38" s="168"/>
      <c r="AS38" s="165"/>
      <c r="AT38" s="166"/>
      <c r="AU38" s="167"/>
      <c r="AV38" s="168"/>
      <c r="AW38" s="23"/>
      <c r="AX38" s="23"/>
      <c r="AY38" s="23"/>
    </row>
    <row r="39" spans="1:51" s="44" customFormat="1" ht="22" customHeight="1" x14ac:dyDescent="0.2">
      <c r="A39" s="41">
        <f>'ALS 10 BAZAR'!A39</f>
        <v>994</v>
      </c>
      <c r="B39" s="165" t="str">
        <f>'ALS 10 BAZAR'!B39:E39</f>
        <v>BANDEJA</v>
      </c>
      <c r="C39" s="182"/>
      <c r="D39" s="182"/>
      <c r="E39" s="166"/>
      <c r="F39" s="42">
        <f>'ALS 10 BAZAR'!F39</f>
        <v>6</v>
      </c>
      <c r="G39" s="43">
        <f>'ALS 10 BAZAR'!G39</f>
        <v>0</v>
      </c>
      <c r="H39" s="39">
        <f t="shared" si="0"/>
        <v>0</v>
      </c>
      <c r="I39" s="39"/>
      <c r="J39" s="47"/>
      <c r="K39" s="49"/>
      <c r="L39" s="50"/>
      <c r="M39" s="165"/>
      <c r="N39" s="166"/>
      <c r="O39" s="167"/>
      <c r="P39" s="168"/>
      <c r="Q39" s="165"/>
      <c r="R39" s="166"/>
      <c r="S39" s="167"/>
      <c r="T39" s="168"/>
      <c r="U39" s="165"/>
      <c r="V39" s="166"/>
      <c r="W39" s="167"/>
      <c r="X39" s="168"/>
      <c r="Y39" s="165"/>
      <c r="Z39" s="166"/>
      <c r="AA39" s="167"/>
      <c r="AB39" s="168"/>
      <c r="AC39" s="165"/>
      <c r="AD39" s="166"/>
      <c r="AE39" s="167"/>
      <c r="AF39" s="168"/>
      <c r="AG39" s="165"/>
      <c r="AH39" s="166"/>
      <c r="AI39" s="167"/>
      <c r="AJ39" s="168"/>
      <c r="AK39" s="165"/>
      <c r="AL39" s="166"/>
      <c r="AM39" s="167"/>
      <c r="AN39" s="168"/>
      <c r="AO39" s="165"/>
      <c r="AP39" s="166"/>
      <c r="AQ39" s="167"/>
      <c r="AR39" s="168"/>
      <c r="AS39" s="165"/>
      <c r="AT39" s="166"/>
      <c r="AU39" s="167"/>
      <c r="AV39" s="168"/>
      <c r="AW39" s="23"/>
      <c r="AX39" s="23"/>
      <c r="AY39" s="23"/>
    </row>
    <row r="40" spans="1:51" s="44" customFormat="1" ht="22" customHeight="1" x14ac:dyDescent="0.2">
      <c r="A40" s="41">
        <f>'ALS 10 BAZAR'!A40</f>
        <v>1012</v>
      </c>
      <c r="B40" s="165" t="str">
        <f>'ALS 10 BAZAR'!B40:E40</f>
        <v>PORTA JOIAS 1 GAVETA</v>
      </c>
      <c r="C40" s="182"/>
      <c r="D40" s="182"/>
      <c r="E40" s="166"/>
      <c r="F40" s="42">
        <f>'ALS 10 BAZAR'!F40</f>
        <v>6</v>
      </c>
      <c r="G40" s="43">
        <f>'ALS 10 BAZAR'!G40</f>
        <v>0</v>
      </c>
      <c r="H40" s="39">
        <f t="shared" si="0"/>
        <v>0</v>
      </c>
      <c r="I40" s="39"/>
      <c r="J40" s="47"/>
      <c r="K40" s="49"/>
      <c r="L40" s="50"/>
      <c r="M40" s="165"/>
      <c r="N40" s="166"/>
      <c r="O40" s="167"/>
      <c r="P40" s="168"/>
      <c r="Q40" s="165"/>
      <c r="R40" s="166"/>
      <c r="S40" s="167"/>
      <c r="T40" s="168"/>
      <c r="U40" s="165"/>
      <c r="V40" s="166"/>
      <c r="W40" s="167"/>
      <c r="X40" s="168"/>
      <c r="Y40" s="165"/>
      <c r="Z40" s="166"/>
      <c r="AA40" s="167"/>
      <c r="AB40" s="168"/>
      <c r="AC40" s="165"/>
      <c r="AD40" s="166"/>
      <c r="AE40" s="167"/>
      <c r="AF40" s="168"/>
      <c r="AG40" s="165"/>
      <c r="AH40" s="166"/>
      <c r="AI40" s="167"/>
      <c r="AJ40" s="168"/>
      <c r="AK40" s="165"/>
      <c r="AL40" s="166"/>
      <c r="AM40" s="167"/>
      <c r="AN40" s="168"/>
      <c r="AO40" s="165"/>
      <c r="AP40" s="166"/>
      <c r="AQ40" s="167"/>
      <c r="AR40" s="168"/>
      <c r="AS40" s="165"/>
      <c r="AT40" s="166"/>
      <c r="AU40" s="167"/>
      <c r="AV40" s="168"/>
      <c r="AW40" s="23"/>
      <c r="AX40" s="23"/>
      <c r="AY40" s="23"/>
    </row>
    <row r="41" spans="1:51" s="44" customFormat="1" ht="22" customHeight="1" x14ac:dyDescent="0.2">
      <c r="A41" s="41">
        <f>'ALS 10 BAZAR'!A41</f>
        <v>1014</v>
      </c>
      <c r="B41" s="165" t="str">
        <f>'ALS 10 BAZAR'!B41:E41</f>
        <v>PORTA JOIAS G</v>
      </c>
      <c r="C41" s="182"/>
      <c r="D41" s="182"/>
      <c r="E41" s="166"/>
      <c r="F41" s="42">
        <f>'ALS 10 BAZAR'!F41</f>
        <v>6</v>
      </c>
      <c r="G41" s="43">
        <f>'ALS 10 BAZAR'!G41</f>
        <v>0</v>
      </c>
      <c r="H41" s="39">
        <f t="shared" si="0"/>
        <v>0</v>
      </c>
      <c r="I41" s="39"/>
      <c r="J41" s="47"/>
      <c r="K41" s="49"/>
      <c r="L41" s="50"/>
      <c r="M41" s="165"/>
      <c r="N41" s="166"/>
      <c r="O41" s="167"/>
      <c r="P41" s="168"/>
      <c r="Q41" s="165"/>
      <c r="R41" s="166"/>
      <c r="S41" s="167"/>
      <c r="T41" s="168"/>
      <c r="U41" s="165"/>
      <c r="V41" s="166"/>
      <c r="W41" s="167"/>
      <c r="X41" s="168"/>
      <c r="Y41" s="165"/>
      <c r="Z41" s="166"/>
      <c r="AA41" s="167"/>
      <c r="AB41" s="168"/>
      <c r="AC41" s="165"/>
      <c r="AD41" s="166"/>
      <c r="AE41" s="167"/>
      <c r="AF41" s="168"/>
      <c r="AG41" s="165"/>
      <c r="AH41" s="166"/>
      <c r="AI41" s="167"/>
      <c r="AJ41" s="168"/>
      <c r="AK41" s="165"/>
      <c r="AL41" s="166"/>
      <c r="AM41" s="167"/>
      <c r="AN41" s="168"/>
      <c r="AO41" s="165"/>
      <c r="AP41" s="166"/>
      <c r="AQ41" s="167"/>
      <c r="AR41" s="168"/>
      <c r="AS41" s="165"/>
      <c r="AT41" s="166"/>
      <c r="AU41" s="167"/>
      <c r="AV41" s="168"/>
      <c r="AW41" s="23"/>
      <c r="AX41" s="23"/>
      <c r="AY41" s="23"/>
    </row>
    <row r="42" spans="1:51" s="44" customFormat="1" ht="22" customHeight="1" x14ac:dyDescent="0.2">
      <c r="A42" s="41">
        <f>'ALS 10 BAZAR'!A42</f>
        <v>1011</v>
      </c>
      <c r="B42" s="165" t="str">
        <f>'ALS 10 BAZAR'!B42:E42</f>
        <v>PORTA JOIAS P</v>
      </c>
      <c r="C42" s="182"/>
      <c r="D42" s="182"/>
      <c r="E42" s="166"/>
      <c r="F42" s="42">
        <f>'ALS 10 BAZAR'!F42</f>
        <v>6</v>
      </c>
      <c r="G42" s="43">
        <f>'ALS 10 BAZAR'!G42</f>
        <v>0</v>
      </c>
      <c r="H42" s="39">
        <f t="shared" si="0"/>
        <v>0</v>
      </c>
      <c r="I42" s="39"/>
      <c r="J42" s="47"/>
      <c r="K42" s="49"/>
      <c r="L42" s="50"/>
      <c r="M42" s="165"/>
      <c r="N42" s="166"/>
      <c r="O42" s="167"/>
      <c r="P42" s="168"/>
      <c r="Q42" s="165"/>
      <c r="R42" s="166"/>
      <c r="S42" s="167"/>
      <c r="T42" s="168"/>
      <c r="U42" s="165"/>
      <c r="V42" s="166"/>
      <c r="W42" s="167"/>
      <c r="X42" s="168"/>
      <c r="Y42" s="165"/>
      <c r="Z42" s="166"/>
      <c r="AA42" s="167"/>
      <c r="AB42" s="168"/>
      <c r="AC42" s="165"/>
      <c r="AD42" s="166"/>
      <c r="AE42" s="167"/>
      <c r="AF42" s="168"/>
      <c r="AG42" s="165"/>
      <c r="AH42" s="166"/>
      <c r="AI42" s="167"/>
      <c r="AJ42" s="168"/>
      <c r="AK42" s="165"/>
      <c r="AL42" s="166"/>
      <c r="AM42" s="167"/>
      <c r="AN42" s="168"/>
      <c r="AO42" s="165"/>
      <c r="AP42" s="166"/>
      <c r="AQ42" s="167"/>
      <c r="AR42" s="168"/>
      <c r="AS42" s="165"/>
      <c r="AT42" s="166"/>
      <c r="AU42" s="167"/>
      <c r="AV42" s="168"/>
      <c r="AW42" s="23"/>
      <c r="AX42" s="23"/>
      <c r="AY42" s="23"/>
    </row>
    <row r="43" spans="1:51" s="44" customFormat="1" ht="22" customHeight="1" x14ac:dyDescent="0.2">
      <c r="A43" s="41">
        <f>'ALS 10 BAZAR'!A43</f>
        <v>1013</v>
      </c>
      <c r="B43" s="165" t="str">
        <f>'ALS 10 BAZAR'!B43:E43</f>
        <v>PORTA JOIAS 2 GAVETAS</v>
      </c>
      <c r="C43" s="182"/>
      <c r="D43" s="182"/>
      <c r="E43" s="166"/>
      <c r="F43" s="42">
        <f>'ALS 10 BAZAR'!F43</f>
        <v>6</v>
      </c>
      <c r="G43" s="43">
        <f>'ALS 10 BAZAR'!G43</f>
        <v>0</v>
      </c>
      <c r="H43" s="39">
        <f t="shared" si="0"/>
        <v>0</v>
      </c>
      <c r="I43" s="39"/>
      <c r="J43" s="47"/>
      <c r="K43" s="49"/>
      <c r="L43" s="50"/>
      <c r="M43" s="165"/>
      <c r="N43" s="166"/>
      <c r="O43" s="167"/>
      <c r="P43" s="168"/>
      <c r="Q43" s="165"/>
      <c r="R43" s="166"/>
      <c r="S43" s="167"/>
      <c r="T43" s="168"/>
      <c r="U43" s="165"/>
      <c r="V43" s="166"/>
      <c r="W43" s="167"/>
      <c r="X43" s="168"/>
      <c r="Y43" s="165"/>
      <c r="Z43" s="166"/>
      <c r="AA43" s="167"/>
      <c r="AB43" s="168"/>
      <c r="AC43" s="165"/>
      <c r="AD43" s="166"/>
      <c r="AE43" s="167"/>
      <c r="AF43" s="168"/>
      <c r="AG43" s="165"/>
      <c r="AH43" s="166"/>
      <c r="AI43" s="167"/>
      <c r="AJ43" s="168"/>
      <c r="AK43" s="165"/>
      <c r="AL43" s="166"/>
      <c r="AM43" s="167"/>
      <c r="AN43" s="168"/>
      <c r="AO43" s="165"/>
      <c r="AP43" s="166"/>
      <c r="AQ43" s="167"/>
      <c r="AR43" s="168"/>
      <c r="AS43" s="165"/>
      <c r="AT43" s="166"/>
      <c r="AU43" s="167"/>
      <c r="AV43" s="168"/>
      <c r="AW43" s="23"/>
      <c r="AX43" s="23"/>
      <c r="AY43" s="23"/>
    </row>
    <row r="44" spans="1:51" s="44" customFormat="1" ht="22" customHeight="1" x14ac:dyDescent="0.2">
      <c r="A44" s="41">
        <f>'ALS 10 BAZAR'!A44</f>
        <v>1015</v>
      </c>
      <c r="B44" s="165" t="str">
        <f>'ALS 10 BAZAR'!B44:E44</f>
        <v>CAIXA DE REMEDIO</v>
      </c>
      <c r="C44" s="182"/>
      <c r="D44" s="182"/>
      <c r="E44" s="166"/>
      <c r="F44" s="42">
        <f>'ALS 10 BAZAR'!F44</f>
        <v>6</v>
      </c>
      <c r="G44" s="43">
        <f>'ALS 10 BAZAR'!G44</f>
        <v>0</v>
      </c>
      <c r="H44" s="39">
        <f t="shared" si="0"/>
        <v>0</v>
      </c>
      <c r="I44" s="39"/>
      <c r="J44" s="47"/>
      <c r="K44" s="49"/>
      <c r="L44" s="50"/>
      <c r="M44" s="165"/>
      <c r="N44" s="166"/>
      <c r="O44" s="167"/>
      <c r="P44" s="168"/>
      <c r="Q44" s="165"/>
      <c r="R44" s="166"/>
      <c r="S44" s="167"/>
      <c r="T44" s="168"/>
      <c r="U44" s="165"/>
      <c r="V44" s="166"/>
      <c r="W44" s="167"/>
      <c r="X44" s="168"/>
      <c r="Y44" s="165"/>
      <c r="Z44" s="166"/>
      <c r="AA44" s="167"/>
      <c r="AB44" s="168"/>
      <c r="AC44" s="165"/>
      <c r="AD44" s="166"/>
      <c r="AE44" s="167"/>
      <c r="AF44" s="168"/>
      <c r="AG44" s="165"/>
      <c r="AH44" s="166"/>
      <c r="AI44" s="167"/>
      <c r="AJ44" s="168"/>
      <c r="AK44" s="165"/>
      <c r="AL44" s="166"/>
      <c r="AM44" s="167"/>
      <c r="AN44" s="168"/>
      <c r="AO44" s="165"/>
      <c r="AP44" s="166"/>
      <c r="AQ44" s="167"/>
      <c r="AR44" s="168"/>
      <c r="AS44" s="165"/>
      <c r="AT44" s="166"/>
      <c r="AU44" s="167"/>
      <c r="AV44" s="168"/>
      <c r="AW44" s="23"/>
      <c r="AX44" s="23"/>
      <c r="AY44" s="23"/>
    </row>
    <row r="45" spans="1:51" s="44" customFormat="1" ht="22" customHeight="1" x14ac:dyDescent="0.2">
      <c r="A45" s="41">
        <f>'ALS 10 BAZAR'!A45</f>
        <v>1122</v>
      </c>
      <c r="B45" s="165" t="str">
        <f>'ALS 10 BAZAR'!B45:E45</f>
        <v>CAIXA VINTAGE</v>
      </c>
      <c r="C45" s="182"/>
      <c r="D45" s="182"/>
      <c r="E45" s="166"/>
      <c r="F45" s="42">
        <f>'ALS 10 BAZAR'!F45</f>
        <v>6</v>
      </c>
      <c r="G45" s="43">
        <f>'ALS 10 BAZAR'!G45</f>
        <v>0</v>
      </c>
      <c r="H45" s="39">
        <f t="shared" si="0"/>
        <v>0</v>
      </c>
      <c r="I45" s="39"/>
      <c r="J45" s="47"/>
      <c r="K45" s="49"/>
      <c r="L45" s="50"/>
      <c r="M45" s="165"/>
      <c r="N45" s="166"/>
      <c r="O45" s="167"/>
      <c r="P45" s="168"/>
      <c r="Q45" s="165"/>
      <c r="R45" s="166"/>
      <c r="S45" s="167"/>
      <c r="T45" s="168"/>
      <c r="U45" s="165"/>
      <c r="V45" s="166"/>
      <c r="W45" s="167"/>
      <c r="X45" s="168"/>
      <c r="Y45" s="165"/>
      <c r="Z45" s="166"/>
      <c r="AA45" s="167"/>
      <c r="AB45" s="168"/>
      <c r="AC45" s="165"/>
      <c r="AD45" s="166"/>
      <c r="AE45" s="167"/>
      <c r="AF45" s="168"/>
      <c r="AG45" s="165"/>
      <c r="AH45" s="166"/>
      <c r="AI45" s="167"/>
      <c r="AJ45" s="168"/>
      <c r="AK45" s="165"/>
      <c r="AL45" s="166"/>
      <c r="AM45" s="167"/>
      <c r="AN45" s="168"/>
      <c r="AO45" s="165"/>
      <c r="AP45" s="166"/>
      <c r="AQ45" s="167"/>
      <c r="AR45" s="168"/>
      <c r="AS45" s="165"/>
      <c r="AT45" s="166"/>
      <c r="AU45" s="167"/>
      <c r="AV45" s="168"/>
      <c r="AW45" s="23"/>
      <c r="AX45" s="23"/>
      <c r="AY45" s="23"/>
    </row>
    <row r="46" spans="1:51" s="44" customFormat="1" ht="22" customHeight="1" x14ac:dyDescent="0.2">
      <c r="A46" s="41">
        <f>'ALS 10 BAZAR'!A46</f>
        <v>1300</v>
      </c>
      <c r="B46" s="165" t="str">
        <f>'ALS 10 BAZAR'!B46:E46</f>
        <v>CAIXA DE DOCUMENTOS</v>
      </c>
      <c r="C46" s="182"/>
      <c r="D46" s="182"/>
      <c r="E46" s="166"/>
      <c r="F46" s="42">
        <f>'ALS 10 BAZAR'!F46</f>
        <v>6</v>
      </c>
      <c r="G46" s="43">
        <f>'ALS 10 BAZAR'!G46</f>
        <v>0</v>
      </c>
      <c r="H46" s="39">
        <f t="shared" si="0"/>
        <v>0</v>
      </c>
      <c r="I46" s="39"/>
      <c r="J46" s="47"/>
      <c r="K46" s="49"/>
      <c r="L46" s="50"/>
      <c r="M46" s="165"/>
      <c r="N46" s="166"/>
      <c r="O46" s="167"/>
      <c r="P46" s="168"/>
      <c r="Q46" s="165"/>
      <c r="R46" s="166"/>
      <c r="S46" s="167"/>
      <c r="T46" s="168"/>
      <c r="U46" s="165"/>
      <c r="V46" s="166"/>
      <c r="W46" s="167"/>
      <c r="X46" s="168"/>
      <c r="Y46" s="165"/>
      <c r="Z46" s="166"/>
      <c r="AA46" s="167"/>
      <c r="AB46" s="168"/>
      <c r="AC46" s="165"/>
      <c r="AD46" s="166"/>
      <c r="AE46" s="167"/>
      <c r="AF46" s="168"/>
      <c r="AG46" s="165"/>
      <c r="AH46" s="166"/>
      <c r="AI46" s="167"/>
      <c r="AJ46" s="168"/>
      <c r="AK46" s="165"/>
      <c r="AL46" s="166"/>
      <c r="AM46" s="167"/>
      <c r="AN46" s="168"/>
      <c r="AO46" s="165"/>
      <c r="AP46" s="166"/>
      <c r="AQ46" s="167"/>
      <c r="AR46" s="168"/>
      <c r="AS46" s="165"/>
      <c r="AT46" s="166"/>
      <c r="AU46" s="167"/>
      <c r="AV46" s="168"/>
      <c r="AW46" s="23"/>
      <c r="AX46" s="23"/>
      <c r="AY46" s="23"/>
    </row>
    <row r="47" spans="1:51" s="44" customFormat="1" ht="22" customHeight="1" x14ac:dyDescent="0.2">
      <c r="A47" s="41">
        <f>'ALS 10 BAZAR'!A47</f>
        <v>1789</v>
      </c>
      <c r="B47" s="165" t="str">
        <f>'ALS 10 BAZAR'!B47:E47</f>
        <v>CAIXA ORGANIZA TUDO</v>
      </c>
      <c r="C47" s="182"/>
      <c r="D47" s="182"/>
      <c r="E47" s="166"/>
      <c r="F47" s="42">
        <f>'ALS 10 BAZAR'!F47</f>
        <v>6</v>
      </c>
      <c r="G47" s="43">
        <f>'ALS 10 BAZAR'!G47</f>
        <v>0</v>
      </c>
      <c r="H47" s="39">
        <f t="shared" si="0"/>
        <v>0</v>
      </c>
      <c r="I47" s="39"/>
      <c r="J47" s="47"/>
      <c r="K47" s="49"/>
      <c r="L47" s="50"/>
      <c r="M47" s="165"/>
      <c r="N47" s="166"/>
      <c r="O47" s="167"/>
      <c r="P47" s="168"/>
      <c r="Q47" s="165"/>
      <c r="R47" s="166"/>
      <c r="S47" s="167"/>
      <c r="T47" s="168"/>
      <c r="U47" s="165"/>
      <c r="V47" s="166"/>
      <c r="W47" s="167"/>
      <c r="X47" s="168"/>
      <c r="Y47" s="165"/>
      <c r="Z47" s="166"/>
      <c r="AA47" s="167"/>
      <c r="AB47" s="168"/>
      <c r="AC47" s="165"/>
      <c r="AD47" s="166"/>
      <c r="AE47" s="167"/>
      <c r="AF47" s="168"/>
      <c r="AG47" s="165"/>
      <c r="AH47" s="166"/>
      <c r="AI47" s="167"/>
      <c r="AJ47" s="168"/>
      <c r="AK47" s="165"/>
      <c r="AL47" s="166"/>
      <c r="AM47" s="167"/>
      <c r="AN47" s="168"/>
      <c r="AO47" s="165"/>
      <c r="AP47" s="166"/>
      <c r="AQ47" s="167"/>
      <c r="AR47" s="168"/>
      <c r="AS47" s="165"/>
      <c r="AT47" s="166"/>
      <c r="AU47" s="167"/>
      <c r="AV47" s="168"/>
      <c r="AW47" s="23"/>
      <c r="AX47" s="23"/>
      <c r="AY47" s="23"/>
    </row>
    <row r="48" spans="1:51" s="44" customFormat="1" ht="22" customHeight="1" x14ac:dyDescent="0.2">
      <c r="A48" s="41">
        <f>'ALS 10 BAZAR'!A48</f>
        <v>989</v>
      </c>
      <c r="B48" s="165" t="str">
        <f>'ALS 10 BAZAR'!B48:E48</f>
        <v>ALBUM DE FOTOS</v>
      </c>
      <c r="C48" s="182"/>
      <c r="D48" s="182"/>
      <c r="E48" s="166"/>
      <c r="F48" s="42">
        <f>'ALS 10 BAZAR'!F48</f>
        <v>6</v>
      </c>
      <c r="G48" s="43">
        <f>'ALS 10 BAZAR'!G48</f>
        <v>0</v>
      </c>
      <c r="H48" s="39">
        <f t="shared" si="0"/>
        <v>0</v>
      </c>
      <c r="I48" s="39"/>
      <c r="J48" s="47"/>
      <c r="K48" s="49"/>
      <c r="L48" s="50"/>
      <c r="M48" s="165"/>
      <c r="N48" s="166"/>
      <c r="O48" s="167"/>
      <c r="P48" s="168"/>
      <c r="Q48" s="165"/>
      <c r="R48" s="166"/>
      <c r="S48" s="167"/>
      <c r="T48" s="168"/>
      <c r="U48" s="165"/>
      <c r="V48" s="166"/>
      <c r="W48" s="167"/>
      <c r="X48" s="168"/>
      <c r="Y48" s="165"/>
      <c r="Z48" s="166"/>
      <c r="AA48" s="167"/>
      <c r="AB48" s="168"/>
      <c r="AC48" s="165"/>
      <c r="AD48" s="166"/>
      <c r="AE48" s="167"/>
      <c r="AF48" s="168"/>
      <c r="AG48" s="165"/>
      <c r="AH48" s="166"/>
      <c r="AI48" s="167"/>
      <c r="AJ48" s="168"/>
      <c r="AK48" s="165"/>
      <c r="AL48" s="166"/>
      <c r="AM48" s="167"/>
      <c r="AN48" s="168"/>
      <c r="AO48" s="165"/>
      <c r="AP48" s="166"/>
      <c r="AQ48" s="167"/>
      <c r="AR48" s="168"/>
      <c r="AS48" s="165"/>
      <c r="AT48" s="166"/>
      <c r="AU48" s="167"/>
      <c r="AV48" s="168"/>
      <c r="AW48" s="23"/>
      <c r="AX48" s="23"/>
      <c r="AY48" s="23"/>
    </row>
    <row r="49" spans="1:51" s="44" customFormat="1" ht="22" customHeight="1" x14ac:dyDescent="0.2">
      <c r="A49" s="41">
        <f>'ALS 10 BAZAR'!A49</f>
        <v>1006</v>
      </c>
      <c r="B49" s="165" t="str">
        <f>'ALS 10 BAZAR'!B49:E49</f>
        <v>PORTA ESMALTE CESTA</v>
      </c>
      <c r="C49" s="182"/>
      <c r="D49" s="182"/>
      <c r="E49" s="166"/>
      <c r="F49" s="42">
        <f>'ALS 10 BAZAR'!F49</f>
        <v>6</v>
      </c>
      <c r="G49" s="43">
        <f>'ALS 10 BAZAR'!G49</f>
        <v>0</v>
      </c>
      <c r="H49" s="39">
        <f t="shared" si="0"/>
        <v>0</v>
      </c>
      <c r="I49" s="39"/>
      <c r="J49" s="47"/>
      <c r="K49" s="49"/>
      <c r="L49" s="50"/>
      <c r="M49" s="165"/>
      <c r="N49" s="166"/>
      <c r="O49" s="167"/>
      <c r="P49" s="168"/>
      <c r="Q49" s="165"/>
      <c r="R49" s="166"/>
      <c r="S49" s="167"/>
      <c r="T49" s="168"/>
      <c r="U49" s="165"/>
      <c r="V49" s="166"/>
      <c r="W49" s="167"/>
      <c r="X49" s="168"/>
      <c r="Y49" s="165"/>
      <c r="Z49" s="166"/>
      <c r="AA49" s="167"/>
      <c r="AB49" s="168"/>
      <c r="AC49" s="165"/>
      <c r="AD49" s="166"/>
      <c r="AE49" s="167"/>
      <c r="AF49" s="168"/>
      <c r="AG49" s="165"/>
      <c r="AH49" s="166"/>
      <c r="AI49" s="167"/>
      <c r="AJ49" s="168"/>
      <c r="AK49" s="165"/>
      <c r="AL49" s="166"/>
      <c r="AM49" s="167"/>
      <c r="AN49" s="168"/>
      <c r="AO49" s="165"/>
      <c r="AP49" s="166"/>
      <c r="AQ49" s="167"/>
      <c r="AR49" s="168"/>
      <c r="AS49" s="165"/>
      <c r="AT49" s="166"/>
      <c r="AU49" s="167"/>
      <c r="AV49" s="168"/>
      <c r="AW49" s="23"/>
      <c r="AX49" s="23"/>
      <c r="AY49" s="23"/>
    </row>
    <row r="50" spans="1:51" s="44" customFormat="1" ht="22" customHeight="1" x14ac:dyDescent="0.2">
      <c r="A50" s="41">
        <f>'ALS 10 BAZAR'!A50</f>
        <v>1792</v>
      </c>
      <c r="B50" s="165" t="str">
        <f>'ALS 10 BAZAR'!B50:E50</f>
        <v>CASA DE PASSARINNHO</v>
      </c>
      <c r="C50" s="182"/>
      <c r="D50" s="182"/>
      <c r="E50" s="166"/>
      <c r="F50" s="42">
        <f>'ALS 10 BAZAR'!F50</f>
        <v>6</v>
      </c>
      <c r="G50" s="43">
        <f>'ALS 10 BAZAR'!G50</f>
        <v>0</v>
      </c>
      <c r="H50" s="39">
        <f t="shared" si="0"/>
        <v>0</v>
      </c>
      <c r="I50" s="39"/>
      <c r="J50" s="47"/>
      <c r="K50" s="49"/>
      <c r="L50" s="50"/>
      <c r="M50" s="165"/>
      <c r="N50" s="166"/>
      <c r="O50" s="167"/>
      <c r="P50" s="168"/>
      <c r="Q50" s="165"/>
      <c r="R50" s="166"/>
      <c r="S50" s="167"/>
      <c r="T50" s="168"/>
      <c r="U50" s="165"/>
      <c r="V50" s="166"/>
      <c r="W50" s="167"/>
      <c r="X50" s="168"/>
      <c r="Y50" s="165"/>
      <c r="Z50" s="166"/>
      <c r="AA50" s="167"/>
      <c r="AB50" s="168"/>
      <c r="AC50" s="165"/>
      <c r="AD50" s="166"/>
      <c r="AE50" s="167"/>
      <c r="AF50" s="168"/>
      <c r="AG50" s="165"/>
      <c r="AH50" s="166"/>
      <c r="AI50" s="167"/>
      <c r="AJ50" s="168"/>
      <c r="AK50" s="165"/>
      <c r="AL50" s="166"/>
      <c r="AM50" s="167"/>
      <c r="AN50" s="168"/>
      <c r="AO50" s="165"/>
      <c r="AP50" s="166"/>
      <c r="AQ50" s="167"/>
      <c r="AR50" s="168"/>
      <c r="AS50" s="165"/>
      <c r="AT50" s="166"/>
      <c r="AU50" s="167"/>
      <c r="AV50" s="168"/>
      <c r="AW50" s="23"/>
      <c r="AX50" s="23"/>
      <c r="AY50" s="23"/>
    </row>
    <row r="51" spans="1:51" s="44" customFormat="1" ht="22" customHeight="1" x14ac:dyDescent="0.2">
      <c r="A51" s="41">
        <f>'ALS 10 BAZAR'!A51</f>
        <v>998</v>
      </c>
      <c r="B51" s="165" t="str">
        <f>'ALS 10 BAZAR'!B51:E51</f>
        <v>PORTA CHA 3 DIV</v>
      </c>
      <c r="C51" s="182"/>
      <c r="D51" s="182"/>
      <c r="E51" s="166"/>
      <c r="F51" s="42">
        <f>'ALS 10 BAZAR'!F51</f>
        <v>6</v>
      </c>
      <c r="G51" s="43">
        <f>'ALS 10 BAZAR'!G51</f>
        <v>0</v>
      </c>
      <c r="H51" s="39">
        <f t="shared" si="0"/>
        <v>0</v>
      </c>
      <c r="I51" s="39"/>
      <c r="J51" s="47"/>
      <c r="K51" s="49"/>
      <c r="L51" s="50"/>
      <c r="M51" s="165"/>
      <c r="N51" s="166"/>
      <c r="O51" s="167"/>
      <c r="P51" s="168"/>
      <c r="Q51" s="165"/>
      <c r="R51" s="166"/>
      <c r="S51" s="167"/>
      <c r="T51" s="168"/>
      <c r="U51" s="165"/>
      <c r="V51" s="166"/>
      <c r="W51" s="167"/>
      <c r="X51" s="168"/>
      <c r="Y51" s="165"/>
      <c r="Z51" s="166"/>
      <c r="AA51" s="167"/>
      <c r="AB51" s="168"/>
      <c r="AC51" s="165"/>
      <c r="AD51" s="166"/>
      <c r="AE51" s="167"/>
      <c r="AF51" s="168"/>
      <c r="AG51" s="165"/>
      <c r="AH51" s="166"/>
      <c r="AI51" s="167"/>
      <c r="AJ51" s="168"/>
      <c r="AK51" s="165"/>
      <c r="AL51" s="166"/>
      <c r="AM51" s="167"/>
      <c r="AN51" s="168"/>
      <c r="AO51" s="165"/>
      <c r="AP51" s="166"/>
      <c r="AQ51" s="167"/>
      <c r="AR51" s="168"/>
      <c r="AS51" s="165"/>
      <c r="AT51" s="166"/>
      <c r="AU51" s="167"/>
      <c r="AV51" s="168"/>
      <c r="AW51" s="23"/>
      <c r="AX51" s="23"/>
      <c r="AY51" s="23"/>
    </row>
    <row r="52" spans="1:51" s="44" customFormat="1" ht="22" customHeight="1" x14ac:dyDescent="0.2">
      <c r="A52" s="41">
        <f>'ALS 10 BAZAR'!A52</f>
        <v>1678</v>
      </c>
      <c r="B52" s="165" t="str">
        <f>'ALS 10 BAZAR'!B52:E52</f>
        <v>BALEIRO</v>
      </c>
      <c r="C52" s="182"/>
      <c r="D52" s="182"/>
      <c r="E52" s="166"/>
      <c r="F52" s="42">
        <f>'ALS 10 BAZAR'!F52</f>
        <v>6</v>
      </c>
      <c r="G52" s="43">
        <f>'ALS 10 BAZAR'!G52</f>
        <v>0</v>
      </c>
      <c r="H52" s="39">
        <f t="shared" si="0"/>
        <v>0</v>
      </c>
      <c r="I52" s="39"/>
      <c r="J52" s="47"/>
      <c r="K52" s="49"/>
      <c r="L52" s="50"/>
      <c r="M52" s="165"/>
      <c r="N52" s="166"/>
      <c r="O52" s="167"/>
      <c r="P52" s="168"/>
      <c r="Q52" s="165"/>
      <c r="R52" s="166"/>
      <c r="S52" s="167"/>
      <c r="T52" s="168"/>
      <c r="U52" s="165"/>
      <c r="V52" s="166"/>
      <c r="W52" s="167"/>
      <c r="X52" s="168"/>
      <c r="Y52" s="165"/>
      <c r="Z52" s="166"/>
      <c r="AA52" s="167"/>
      <c r="AB52" s="168"/>
      <c r="AC52" s="165"/>
      <c r="AD52" s="166"/>
      <c r="AE52" s="167"/>
      <c r="AF52" s="168"/>
      <c r="AG52" s="165"/>
      <c r="AH52" s="166"/>
      <c r="AI52" s="167"/>
      <c r="AJ52" s="168"/>
      <c r="AK52" s="165"/>
      <c r="AL52" s="166"/>
      <c r="AM52" s="167"/>
      <c r="AN52" s="168"/>
      <c r="AO52" s="165"/>
      <c r="AP52" s="166"/>
      <c r="AQ52" s="167"/>
      <c r="AR52" s="168"/>
      <c r="AS52" s="165"/>
      <c r="AT52" s="166"/>
      <c r="AU52" s="167"/>
      <c r="AV52" s="168"/>
      <c r="AW52" s="23"/>
      <c r="AX52" s="23"/>
      <c r="AY52" s="23"/>
    </row>
    <row r="53" spans="1:51" s="44" customFormat="1" ht="22" customHeight="1" x14ac:dyDescent="0.2">
      <c r="A53" s="41">
        <f>'ALS 10 BAZAR'!A53</f>
        <v>1002</v>
      </c>
      <c r="B53" s="165" t="str">
        <f>'ALS 10 BAZAR'!B53:E53</f>
        <v>PORTA COSTURA CAIXA</v>
      </c>
      <c r="C53" s="182"/>
      <c r="D53" s="182"/>
      <c r="E53" s="166"/>
      <c r="F53" s="42">
        <f>'ALS 10 BAZAR'!F53</f>
        <v>6</v>
      </c>
      <c r="G53" s="43">
        <f>'ALS 10 BAZAR'!G53</f>
        <v>0</v>
      </c>
      <c r="H53" s="39">
        <f t="shared" si="0"/>
        <v>0</v>
      </c>
      <c r="I53" s="39"/>
      <c r="J53" s="47"/>
      <c r="K53" s="49"/>
      <c r="L53" s="50"/>
      <c r="M53" s="165"/>
      <c r="N53" s="166"/>
      <c r="O53" s="167"/>
      <c r="P53" s="168"/>
      <c r="Q53" s="165"/>
      <c r="R53" s="166"/>
      <c r="S53" s="167"/>
      <c r="T53" s="168"/>
      <c r="U53" s="165"/>
      <c r="V53" s="166"/>
      <c r="W53" s="167"/>
      <c r="X53" s="168"/>
      <c r="Y53" s="165"/>
      <c r="Z53" s="166"/>
      <c r="AA53" s="167"/>
      <c r="AB53" s="168"/>
      <c r="AC53" s="165"/>
      <c r="AD53" s="166"/>
      <c r="AE53" s="167"/>
      <c r="AF53" s="168"/>
      <c r="AG53" s="165"/>
      <c r="AH53" s="166"/>
      <c r="AI53" s="167"/>
      <c r="AJ53" s="168"/>
      <c r="AK53" s="165"/>
      <c r="AL53" s="166"/>
      <c r="AM53" s="167"/>
      <c r="AN53" s="168"/>
      <c r="AO53" s="165"/>
      <c r="AP53" s="166"/>
      <c r="AQ53" s="167"/>
      <c r="AR53" s="168"/>
      <c r="AS53" s="165"/>
      <c r="AT53" s="166"/>
      <c r="AU53" s="167"/>
      <c r="AV53" s="168"/>
      <c r="AW53" s="23"/>
      <c r="AX53" s="23"/>
      <c r="AY53" s="23"/>
    </row>
    <row r="54" spans="1:51" s="44" customFormat="1" ht="22" customHeight="1" x14ac:dyDescent="0.2">
      <c r="A54" s="41">
        <f>'ALS 10 BAZAR'!A54</f>
        <v>1121</v>
      </c>
      <c r="B54" s="165" t="str">
        <f>'ALS 10 BAZAR'!B54:E54</f>
        <v>PORTA CHAVES C/3</v>
      </c>
      <c r="C54" s="182"/>
      <c r="D54" s="182"/>
      <c r="E54" s="166"/>
      <c r="F54" s="42">
        <f>'ALS 10 BAZAR'!F54</f>
        <v>6</v>
      </c>
      <c r="G54" s="43">
        <f>'ALS 10 BAZAR'!G54</f>
        <v>0</v>
      </c>
      <c r="H54" s="39">
        <f t="shared" si="0"/>
        <v>0</v>
      </c>
      <c r="I54" s="39"/>
      <c r="J54" s="47"/>
      <c r="K54" s="49"/>
      <c r="L54" s="50"/>
      <c r="M54" s="165"/>
      <c r="N54" s="166"/>
      <c r="O54" s="167"/>
      <c r="P54" s="168"/>
      <c r="Q54" s="165"/>
      <c r="R54" s="166"/>
      <c r="S54" s="167"/>
      <c r="T54" s="168"/>
      <c r="U54" s="165"/>
      <c r="V54" s="166"/>
      <c r="W54" s="167"/>
      <c r="X54" s="168"/>
      <c r="Y54" s="165"/>
      <c r="Z54" s="166"/>
      <c r="AA54" s="167"/>
      <c r="AB54" s="168"/>
      <c r="AC54" s="165"/>
      <c r="AD54" s="166"/>
      <c r="AE54" s="167"/>
      <c r="AF54" s="168"/>
      <c r="AG54" s="165"/>
      <c r="AH54" s="166"/>
      <c r="AI54" s="167"/>
      <c r="AJ54" s="168"/>
      <c r="AK54" s="165"/>
      <c r="AL54" s="166"/>
      <c r="AM54" s="167"/>
      <c r="AN54" s="168"/>
      <c r="AO54" s="165"/>
      <c r="AP54" s="166"/>
      <c r="AQ54" s="167"/>
      <c r="AR54" s="168"/>
      <c r="AS54" s="165"/>
      <c r="AT54" s="166"/>
      <c r="AU54" s="167"/>
      <c r="AV54" s="168"/>
      <c r="AW54" s="23"/>
      <c r="AX54" s="23"/>
      <c r="AY54" s="23"/>
    </row>
    <row r="55" spans="1:51" s="44" customFormat="1" ht="22" customHeight="1" x14ac:dyDescent="0.2">
      <c r="A55" s="41">
        <f>'ALS 10 BAZAR'!A55</f>
        <v>1805</v>
      </c>
      <c r="B55" s="165" t="str">
        <f>'ALS 10 BAZAR'!B55:E55</f>
        <v>PORTA ESPETO CAIXA</v>
      </c>
      <c r="C55" s="182"/>
      <c r="D55" s="182"/>
      <c r="E55" s="166"/>
      <c r="F55" s="42">
        <f>'ALS 10 BAZAR'!F55</f>
        <v>6</v>
      </c>
      <c r="G55" s="43">
        <f>'ALS 10 BAZAR'!G55</f>
        <v>0</v>
      </c>
      <c r="H55" s="39">
        <f t="shared" si="0"/>
        <v>0</v>
      </c>
      <c r="I55" s="39"/>
      <c r="J55" s="47"/>
      <c r="K55" s="49"/>
      <c r="L55" s="50"/>
      <c r="M55" s="165"/>
      <c r="N55" s="166"/>
      <c r="O55" s="167"/>
      <c r="P55" s="168"/>
      <c r="Q55" s="165"/>
      <c r="R55" s="166"/>
      <c r="S55" s="167"/>
      <c r="T55" s="168"/>
      <c r="U55" s="165"/>
      <c r="V55" s="166"/>
      <c r="W55" s="167"/>
      <c r="X55" s="168"/>
      <c r="Y55" s="165"/>
      <c r="Z55" s="166"/>
      <c r="AA55" s="167"/>
      <c r="AB55" s="168"/>
      <c r="AC55" s="165"/>
      <c r="AD55" s="166"/>
      <c r="AE55" s="167"/>
      <c r="AF55" s="168"/>
      <c r="AG55" s="165"/>
      <c r="AH55" s="166"/>
      <c r="AI55" s="167"/>
      <c r="AJ55" s="168"/>
      <c r="AK55" s="165"/>
      <c r="AL55" s="166"/>
      <c r="AM55" s="167"/>
      <c r="AN55" s="168"/>
      <c r="AO55" s="165"/>
      <c r="AP55" s="166"/>
      <c r="AQ55" s="167"/>
      <c r="AR55" s="168"/>
      <c r="AS55" s="165"/>
      <c r="AT55" s="166"/>
      <c r="AU55" s="167"/>
      <c r="AV55" s="168"/>
      <c r="AW55" s="23"/>
      <c r="AX55" s="23"/>
      <c r="AY55" s="23"/>
    </row>
    <row r="56" spans="1:51" s="44" customFormat="1" ht="22" customHeight="1" x14ac:dyDescent="0.2">
      <c r="A56" s="41">
        <f>'ALS 10 BAZAR'!A56</f>
        <v>647</v>
      </c>
      <c r="B56" s="165" t="str">
        <f>'ALS 10 BAZAR'!B56:E56</f>
        <v>ENFEITE DE CUIA GOLD</v>
      </c>
      <c r="C56" s="182"/>
      <c r="D56" s="182"/>
      <c r="E56" s="166"/>
      <c r="F56" s="42">
        <f>'ALS 10 BAZAR'!F56</f>
        <v>6</v>
      </c>
      <c r="G56" s="43">
        <f>'ALS 10 BAZAR'!G56</f>
        <v>0</v>
      </c>
      <c r="H56" s="39">
        <f t="shared" si="0"/>
        <v>0</v>
      </c>
      <c r="I56" s="39"/>
      <c r="J56" s="47"/>
      <c r="K56" s="49"/>
      <c r="L56" s="50"/>
      <c r="M56" s="165"/>
      <c r="N56" s="166"/>
      <c r="O56" s="167"/>
      <c r="P56" s="168"/>
      <c r="Q56" s="165"/>
      <c r="R56" s="166"/>
      <c r="S56" s="167"/>
      <c r="T56" s="168"/>
      <c r="U56" s="165"/>
      <c r="V56" s="166"/>
      <c r="W56" s="167"/>
      <c r="X56" s="168"/>
      <c r="Y56" s="165"/>
      <c r="Z56" s="166"/>
      <c r="AA56" s="167"/>
      <c r="AB56" s="168"/>
      <c r="AC56" s="165"/>
      <c r="AD56" s="166"/>
      <c r="AE56" s="167"/>
      <c r="AF56" s="168"/>
      <c r="AG56" s="165"/>
      <c r="AH56" s="166"/>
      <c r="AI56" s="167"/>
      <c r="AJ56" s="168"/>
      <c r="AK56" s="165"/>
      <c r="AL56" s="166"/>
      <c r="AM56" s="167"/>
      <c r="AN56" s="168"/>
      <c r="AO56" s="165"/>
      <c r="AP56" s="166"/>
      <c r="AQ56" s="167"/>
      <c r="AR56" s="168"/>
      <c r="AS56" s="165"/>
      <c r="AT56" s="166"/>
      <c r="AU56" s="167"/>
      <c r="AV56" s="168"/>
      <c r="AW56" s="23"/>
      <c r="AX56" s="23"/>
      <c r="AY56" s="23"/>
    </row>
    <row r="57" spans="1:51" s="44" customFormat="1" ht="22" customHeight="1" x14ac:dyDescent="0.2">
      <c r="A57" s="41">
        <f>'ALS 10 BAZAR'!A57</f>
        <v>792</v>
      </c>
      <c r="B57" s="165" t="str">
        <f>'ALS 10 BAZAR'!B57:E57</f>
        <v>PORTA CAPSULA P/12 DOLCE GUSTO</v>
      </c>
      <c r="C57" s="182"/>
      <c r="D57" s="182"/>
      <c r="E57" s="166"/>
      <c r="F57" s="42">
        <f>'ALS 10 BAZAR'!F57</f>
        <v>6</v>
      </c>
      <c r="G57" s="43">
        <f>'ALS 10 BAZAR'!G57</f>
        <v>0</v>
      </c>
      <c r="H57" s="39">
        <f t="shared" si="0"/>
        <v>0</v>
      </c>
      <c r="I57" s="39"/>
      <c r="J57" s="47"/>
      <c r="K57" s="49"/>
      <c r="L57" s="50"/>
      <c r="M57" s="165"/>
      <c r="N57" s="166"/>
      <c r="O57" s="167"/>
      <c r="P57" s="168"/>
      <c r="Q57" s="165"/>
      <c r="R57" s="166"/>
      <c r="S57" s="167"/>
      <c r="T57" s="168"/>
      <c r="U57" s="165"/>
      <c r="V57" s="166"/>
      <c r="W57" s="167"/>
      <c r="X57" s="168"/>
      <c r="Y57" s="165"/>
      <c r="Z57" s="166"/>
      <c r="AA57" s="167"/>
      <c r="AB57" s="168"/>
      <c r="AC57" s="165"/>
      <c r="AD57" s="166"/>
      <c r="AE57" s="167"/>
      <c r="AF57" s="168"/>
      <c r="AG57" s="165"/>
      <c r="AH57" s="166"/>
      <c r="AI57" s="167"/>
      <c r="AJ57" s="168"/>
      <c r="AK57" s="165"/>
      <c r="AL57" s="166"/>
      <c r="AM57" s="167"/>
      <c r="AN57" s="168"/>
      <c r="AO57" s="165"/>
      <c r="AP57" s="166"/>
      <c r="AQ57" s="167"/>
      <c r="AR57" s="168"/>
      <c r="AS57" s="165"/>
      <c r="AT57" s="166"/>
      <c r="AU57" s="167"/>
      <c r="AV57" s="168"/>
      <c r="AW57" s="23"/>
      <c r="AX57" s="23"/>
      <c r="AY57" s="23"/>
    </row>
    <row r="58" spans="1:51" s="44" customFormat="1" ht="22" customHeight="1" x14ac:dyDescent="0.2">
      <c r="A58" s="41">
        <f>'ALS 10 BAZAR'!A58</f>
        <v>823</v>
      </c>
      <c r="B58" s="165" t="str">
        <f>'ALS 10 BAZAR'!B58:E58</f>
        <v>CAMINHAO HOT WHEELS</v>
      </c>
      <c r="C58" s="182"/>
      <c r="D58" s="182"/>
      <c r="E58" s="166"/>
      <c r="F58" s="42">
        <f>'ALS 10 BAZAR'!F58</f>
        <v>6</v>
      </c>
      <c r="G58" s="43">
        <f>'ALS 10 BAZAR'!G58</f>
        <v>0</v>
      </c>
      <c r="H58" s="39">
        <f t="shared" si="0"/>
        <v>0</v>
      </c>
      <c r="I58" s="39"/>
      <c r="J58" s="47"/>
      <c r="K58" s="49"/>
      <c r="L58" s="50"/>
      <c r="M58" s="165"/>
      <c r="N58" s="166"/>
      <c r="O58" s="167"/>
      <c r="P58" s="168"/>
      <c r="Q58" s="165"/>
      <c r="R58" s="166"/>
      <c r="S58" s="167"/>
      <c r="T58" s="168"/>
      <c r="U58" s="165"/>
      <c r="V58" s="166"/>
      <c r="W58" s="167"/>
      <c r="X58" s="168"/>
      <c r="Y58" s="165"/>
      <c r="Z58" s="166"/>
      <c r="AA58" s="167"/>
      <c r="AB58" s="168"/>
      <c r="AC58" s="165"/>
      <c r="AD58" s="166"/>
      <c r="AE58" s="167"/>
      <c r="AF58" s="168"/>
      <c r="AG58" s="165"/>
      <c r="AH58" s="166"/>
      <c r="AI58" s="167"/>
      <c r="AJ58" s="168"/>
      <c r="AK58" s="165"/>
      <c r="AL58" s="166"/>
      <c r="AM58" s="167"/>
      <c r="AN58" s="168"/>
      <c r="AO58" s="165"/>
      <c r="AP58" s="166"/>
      <c r="AQ58" s="167"/>
      <c r="AR58" s="168"/>
      <c r="AS58" s="165"/>
      <c r="AT58" s="166"/>
      <c r="AU58" s="167"/>
      <c r="AV58" s="168"/>
      <c r="AW58" s="23"/>
      <c r="AX58" s="23"/>
      <c r="AY58" s="23"/>
    </row>
    <row r="59" spans="1:51" s="44" customFormat="1" ht="22" customHeight="1" x14ac:dyDescent="0.2">
      <c r="A59" s="41">
        <f>'ALS 10 BAZAR'!A59</f>
        <v>1064</v>
      </c>
      <c r="B59" s="165" t="str">
        <f>'ALS 10 BAZAR'!B59:E59</f>
        <v>MESA DE APOIO</v>
      </c>
      <c r="C59" s="182"/>
      <c r="D59" s="182"/>
      <c r="E59" s="166"/>
      <c r="F59" s="42">
        <f>'ALS 10 BAZAR'!F59</f>
        <v>6</v>
      </c>
      <c r="G59" s="43">
        <f>'ALS 10 BAZAR'!G59</f>
        <v>0</v>
      </c>
      <c r="H59" s="39">
        <f t="shared" si="0"/>
        <v>0</v>
      </c>
      <c r="I59" s="39"/>
      <c r="J59" s="47"/>
      <c r="K59" s="49"/>
      <c r="L59" s="50"/>
      <c r="M59" s="165"/>
      <c r="N59" s="166"/>
      <c r="O59" s="167"/>
      <c r="P59" s="168"/>
      <c r="Q59" s="165"/>
      <c r="R59" s="166"/>
      <c r="S59" s="167"/>
      <c r="T59" s="168"/>
      <c r="U59" s="165"/>
      <c r="V59" s="166"/>
      <c r="W59" s="167"/>
      <c r="X59" s="168"/>
      <c r="Y59" s="165"/>
      <c r="Z59" s="166"/>
      <c r="AA59" s="167"/>
      <c r="AB59" s="168"/>
      <c r="AC59" s="165"/>
      <c r="AD59" s="166"/>
      <c r="AE59" s="167"/>
      <c r="AF59" s="168"/>
      <c r="AG59" s="165"/>
      <c r="AH59" s="166"/>
      <c r="AI59" s="167"/>
      <c r="AJ59" s="168"/>
      <c r="AK59" s="165"/>
      <c r="AL59" s="166"/>
      <c r="AM59" s="167"/>
      <c r="AN59" s="168"/>
      <c r="AO59" s="165"/>
      <c r="AP59" s="166"/>
      <c r="AQ59" s="167"/>
      <c r="AR59" s="168"/>
      <c r="AS59" s="165"/>
      <c r="AT59" s="166"/>
      <c r="AU59" s="167"/>
      <c r="AV59" s="168"/>
      <c r="AW59" s="23"/>
      <c r="AX59" s="23"/>
      <c r="AY59" s="23"/>
    </row>
    <row r="60" spans="1:51" s="44" customFormat="1" ht="22" customHeight="1" x14ac:dyDescent="0.2">
      <c r="A60" s="41">
        <f>'ALS 10 BAZAR'!A60</f>
        <v>804</v>
      </c>
      <c r="B60" s="165" t="str">
        <f>'ALS 10 BAZAR'!B60:E60</f>
        <v>JOGO DA VELHA</v>
      </c>
      <c r="C60" s="182"/>
      <c r="D60" s="182"/>
      <c r="E60" s="166"/>
      <c r="F60" s="42">
        <f>'ALS 10 BAZAR'!F60</f>
        <v>6</v>
      </c>
      <c r="G60" s="43">
        <f>'ALS 10 BAZAR'!G60</f>
        <v>100</v>
      </c>
      <c r="H60" s="39">
        <f t="shared" si="0"/>
        <v>600</v>
      </c>
      <c r="I60" s="39"/>
      <c r="J60" s="47"/>
      <c r="K60" s="49"/>
      <c r="L60" s="50"/>
      <c r="M60" s="165"/>
      <c r="N60" s="166"/>
      <c r="O60" s="167"/>
      <c r="P60" s="168"/>
      <c r="Q60" s="165"/>
      <c r="R60" s="166"/>
      <c r="S60" s="167"/>
      <c r="T60" s="168"/>
      <c r="U60" s="165"/>
      <c r="V60" s="166"/>
      <c r="W60" s="167"/>
      <c r="X60" s="168"/>
      <c r="Y60" s="165"/>
      <c r="Z60" s="166"/>
      <c r="AA60" s="167"/>
      <c r="AB60" s="168"/>
      <c r="AC60" s="165"/>
      <c r="AD60" s="166"/>
      <c r="AE60" s="167"/>
      <c r="AF60" s="168"/>
      <c r="AG60" s="165"/>
      <c r="AH60" s="166"/>
      <c r="AI60" s="167"/>
      <c r="AJ60" s="168"/>
      <c r="AK60" s="165"/>
      <c r="AL60" s="166"/>
      <c r="AM60" s="167"/>
      <c r="AN60" s="168"/>
      <c r="AO60" s="165"/>
      <c r="AP60" s="166"/>
      <c r="AQ60" s="167"/>
      <c r="AR60" s="168"/>
      <c r="AS60" s="165"/>
      <c r="AT60" s="166"/>
      <c r="AU60" s="167"/>
      <c r="AV60" s="168"/>
      <c r="AW60" s="23"/>
      <c r="AX60" s="23"/>
      <c r="AY60" s="23"/>
    </row>
    <row r="61" spans="1:51" s="44" customFormat="1" ht="22" customHeight="1" x14ac:dyDescent="0.2">
      <c r="A61" s="41">
        <f>'ALS 10 BAZAR'!A61</f>
        <v>646</v>
      </c>
      <c r="B61" s="165" t="str">
        <f>'ALS 10 BAZAR'!B61:E61</f>
        <v>MANDALA SORTIDA</v>
      </c>
      <c r="C61" s="182"/>
      <c r="D61" s="182"/>
      <c r="E61" s="166"/>
      <c r="F61" s="42">
        <f>'ALS 10 BAZAR'!F61</f>
        <v>6</v>
      </c>
      <c r="G61" s="43">
        <f>'ALS 10 BAZAR'!G61</f>
        <v>0</v>
      </c>
      <c r="H61" s="39">
        <f t="shared" si="0"/>
        <v>0</v>
      </c>
      <c r="I61" s="39"/>
      <c r="J61" s="47"/>
      <c r="K61" s="49"/>
      <c r="L61" s="50"/>
      <c r="M61" s="165"/>
      <c r="N61" s="166"/>
      <c r="O61" s="167"/>
      <c r="P61" s="168"/>
      <c r="Q61" s="165"/>
      <c r="R61" s="166"/>
      <c r="S61" s="167"/>
      <c r="T61" s="168"/>
      <c r="U61" s="165"/>
      <c r="V61" s="166"/>
      <c r="W61" s="167"/>
      <c r="X61" s="168"/>
      <c r="Y61" s="165"/>
      <c r="Z61" s="166"/>
      <c r="AA61" s="167"/>
      <c r="AB61" s="168"/>
      <c r="AC61" s="165"/>
      <c r="AD61" s="166"/>
      <c r="AE61" s="167"/>
      <c r="AF61" s="168"/>
      <c r="AG61" s="165"/>
      <c r="AH61" s="166"/>
      <c r="AI61" s="167"/>
      <c r="AJ61" s="168"/>
      <c r="AK61" s="165"/>
      <c r="AL61" s="166"/>
      <c r="AM61" s="167"/>
      <c r="AN61" s="168"/>
      <c r="AO61" s="165"/>
      <c r="AP61" s="166"/>
      <c r="AQ61" s="167"/>
      <c r="AR61" s="168"/>
      <c r="AS61" s="165"/>
      <c r="AT61" s="166"/>
      <c r="AU61" s="167"/>
      <c r="AV61" s="168"/>
      <c r="AW61" s="23"/>
      <c r="AX61" s="23"/>
      <c r="AY61" s="23"/>
    </row>
    <row r="62" spans="1:51" s="44" customFormat="1" ht="22" customHeight="1" x14ac:dyDescent="0.2">
      <c r="A62" s="41">
        <f>'ALS 10 BAZAR'!A62</f>
        <v>630</v>
      </c>
      <c r="B62" s="165" t="str">
        <f>'ALS 10 BAZAR'!B62:E62</f>
        <v>CAIXA 16L SEM ADESIVO</v>
      </c>
      <c r="C62" s="182"/>
      <c r="D62" s="182"/>
      <c r="E62" s="166"/>
      <c r="F62" s="42">
        <f>'ALS 10 BAZAR'!F62</f>
        <v>6</v>
      </c>
      <c r="G62" s="43">
        <f>'ALS 10 BAZAR'!G62</f>
        <v>100</v>
      </c>
      <c r="H62" s="39">
        <f t="shared" si="0"/>
        <v>600</v>
      </c>
      <c r="I62" s="39"/>
      <c r="J62" s="47"/>
      <c r="K62" s="49"/>
      <c r="L62" s="50"/>
      <c r="M62" s="165"/>
      <c r="N62" s="166"/>
      <c r="O62" s="167"/>
      <c r="P62" s="168"/>
      <c r="Q62" s="165"/>
      <c r="R62" s="166"/>
      <c r="S62" s="167"/>
      <c r="T62" s="168"/>
      <c r="U62" s="165"/>
      <c r="V62" s="166"/>
      <c r="W62" s="167"/>
      <c r="X62" s="168"/>
      <c r="Y62" s="165"/>
      <c r="Z62" s="166"/>
      <c r="AA62" s="167"/>
      <c r="AB62" s="168"/>
      <c r="AC62" s="165"/>
      <c r="AD62" s="166"/>
      <c r="AE62" s="167"/>
      <c r="AF62" s="168"/>
      <c r="AG62" s="165"/>
      <c r="AH62" s="166"/>
      <c r="AI62" s="167"/>
      <c r="AJ62" s="168"/>
      <c r="AK62" s="165"/>
      <c r="AL62" s="166"/>
      <c r="AM62" s="167"/>
      <c r="AN62" s="168"/>
      <c r="AO62" s="165"/>
      <c r="AP62" s="166"/>
      <c r="AQ62" s="167"/>
      <c r="AR62" s="168"/>
      <c r="AS62" s="165"/>
      <c r="AT62" s="166"/>
      <c r="AU62" s="167"/>
      <c r="AV62" s="168"/>
      <c r="AW62" s="23"/>
      <c r="AX62" s="23"/>
      <c r="AY62" s="23"/>
    </row>
    <row r="63" spans="1:51" s="44" customFormat="1" ht="22" customHeight="1" x14ac:dyDescent="0.2">
      <c r="A63" s="41">
        <f>'ALS 10 BAZAR'!A63</f>
        <v>631</v>
      </c>
      <c r="B63" s="165" t="str">
        <f>'ALS 10 BAZAR'!B63:E63</f>
        <v>CAIXA 19L SEM ADESIVO</v>
      </c>
      <c r="C63" s="182"/>
      <c r="D63" s="182"/>
      <c r="E63" s="166"/>
      <c r="F63" s="42">
        <f>'ALS 10 BAZAR'!F63</f>
        <v>6</v>
      </c>
      <c r="G63" s="43">
        <f>'ALS 10 BAZAR'!G63</f>
        <v>100</v>
      </c>
      <c r="H63" s="39">
        <f t="shared" si="0"/>
        <v>600</v>
      </c>
      <c r="I63" s="39"/>
      <c r="J63" s="47"/>
      <c r="K63" s="49"/>
      <c r="L63" s="50"/>
      <c r="M63" s="165"/>
      <c r="N63" s="166"/>
      <c r="O63" s="167"/>
      <c r="P63" s="168"/>
      <c r="Q63" s="165"/>
      <c r="R63" s="166"/>
      <c r="S63" s="167"/>
      <c r="T63" s="168"/>
      <c r="U63" s="165"/>
      <c r="V63" s="166"/>
      <c r="W63" s="167"/>
      <c r="X63" s="168"/>
      <c r="Y63" s="165"/>
      <c r="Z63" s="166"/>
      <c r="AA63" s="167"/>
      <c r="AB63" s="168"/>
      <c r="AC63" s="165"/>
      <c r="AD63" s="166"/>
      <c r="AE63" s="167"/>
      <c r="AF63" s="168"/>
      <c r="AG63" s="165"/>
      <c r="AH63" s="166"/>
      <c r="AI63" s="167"/>
      <c r="AJ63" s="168"/>
      <c r="AK63" s="165"/>
      <c r="AL63" s="166"/>
      <c r="AM63" s="167"/>
      <c r="AN63" s="168"/>
      <c r="AO63" s="165"/>
      <c r="AP63" s="166"/>
      <c r="AQ63" s="167"/>
      <c r="AR63" s="168"/>
      <c r="AS63" s="165"/>
      <c r="AT63" s="166"/>
      <c r="AU63" s="167"/>
      <c r="AV63" s="168"/>
      <c r="AW63" s="23"/>
      <c r="AX63" s="23"/>
      <c r="AY63" s="23"/>
    </row>
    <row r="64" spans="1:51" s="44" customFormat="1" ht="22" customHeight="1" x14ac:dyDescent="0.2">
      <c r="A64" s="41">
        <f>'ALS 10 BAZAR'!A64</f>
        <v>618</v>
      </c>
      <c r="B64" s="165" t="str">
        <f>'ALS 10 BAZAR'!B64:E64</f>
        <v>CAIXA ORG. BAIXA P SEM ADESIVO</v>
      </c>
      <c r="C64" s="182"/>
      <c r="D64" s="182"/>
      <c r="E64" s="166"/>
      <c r="F64" s="42">
        <f>'ALS 10 BAZAR'!F64</f>
        <v>6</v>
      </c>
      <c r="G64" s="43">
        <f>'ALS 10 BAZAR'!G64</f>
        <v>0</v>
      </c>
      <c r="H64" s="39">
        <f t="shared" si="0"/>
        <v>0</v>
      </c>
      <c r="I64" s="39"/>
      <c r="J64" s="47"/>
      <c r="K64" s="49"/>
      <c r="L64" s="50"/>
      <c r="M64" s="165"/>
      <c r="N64" s="166"/>
      <c r="O64" s="167"/>
      <c r="P64" s="168"/>
      <c r="Q64" s="165"/>
      <c r="R64" s="166"/>
      <c r="S64" s="167"/>
      <c r="T64" s="168"/>
      <c r="U64" s="165"/>
      <c r="V64" s="166"/>
      <c r="W64" s="167"/>
      <c r="X64" s="168"/>
      <c r="Y64" s="165"/>
      <c r="Z64" s="166"/>
      <c r="AA64" s="167"/>
      <c r="AB64" s="168"/>
      <c r="AC64" s="165"/>
      <c r="AD64" s="166"/>
      <c r="AE64" s="167"/>
      <c r="AF64" s="168"/>
      <c r="AG64" s="165"/>
      <c r="AH64" s="166"/>
      <c r="AI64" s="167"/>
      <c r="AJ64" s="168"/>
      <c r="AK64" s="165"/>
      <c r="AL64" s="166"/>
      <c r="AM64" s="167"/>
      <c r="AN64" s="168"/>
      <c r="AO64" s="165"/>
      <c r="AP64" s="166"/>
      <c r="AQ64" s="167"/>
      <c r="AR64" s="168"/>
      <c r="AS64" s="165"/>
      <c r="AT64" s="166"/>
      <c r="AU64" s="167"/>
      <c r="AV64" s="168"/>
      <c r="AW64" s="23"/>
      <c r="AX64" s="23"/>
      <c r="AY64" s="23"/>
    </row>
    <row r="65" spans="1:51" s="44" customFormat="1" ht="22" customHeight="1" x14ac:dyDescent="0.2">
      <c r="A65" s="41">
        <f>'ALS 10 BAZAR'!A65</f>
        <v>619</v>
      </c>
      <c r="B65" s="165" t="str">
        <f>'ALS 10 BAZAR'!B65:E65</f>
        <v>CAIXA ORG. BAIXA M SEM ADESIVO</v>
      </c>
      <c r="C65" s="182"/>
      <c r="D65" s="182"/>
      <c r="E65" s="166"/>
      <c r="F65" s="42">
        <f>'ALS 10 BAZAR'!F65</f>
        <v>6</v>
      </c>
      <c r="G65" s="43">
        <f>'ALS 10 BAZAR'!G65</f>
        <v>0</v>
      </c>
      <c r="H65" s="39">
        <f t="shared" si="0"/>
        <v>0</v>
      </c>
      <c r="I65" s="39"/>
      <c r="J65" s="47"/>
      <c r="K65" s="49"/>
      <c r="L65" s="50"/>
      <c r="M65" s="165"/>
      <c r="N65" s="166"/>
      <c r="O65" s="167"/>
      <c r="P65" s="168"/>
      <c r="Q65" s="165"/>
      <c r="R65" s="166"/>
      <c r="S65" s="167"/>
      <c r="T65" s="168"/>
      <c r="U65" s="165"/>
      <c r="V65" s="166"/>
      <c r="W65" s="167"/>
      <c r="X65" s="168"/>
      <c r="Y65" s="165"/>
      <c r="Z65" s="166"/>
      <c r="AA65" s="167"/>
      <c r="AB65" s="168"/>
      <c r="AC65" s="165"/>
      <c r="AD65" s="166"/>
      <c r="AE65" s="167"/>
      <c r="AF65" s="168"/>
      <c r="AG65" s="165"/>
      <c r="AH65" s="166"/>
      <c r="AI65" s="167"/>
      <c r="AJ65" s="168"/>
      <c r="AK65" s="165"/>
      <c r="AL65" s="166"/>
      <c r="AM65" s="167"/>
      <c r="AN65" s="168"/>
      <c r="AO65" s="165"/>
      <c r="AP65" s="166"/>
      <c r="AQ65" s="167"/>
      <c r="AR65" s="168"/>
      <c r="AS65" s="165"/>
      <c r="AT65" s="166"/>
      <c r="AU65" s="167"/>
      <c r="AV65" s="168"/>
      <c r="AW65" s="23"/>
      <c r="AX65" s="23"/>
      <c r="AY65" s="23"/>
    </row>
    <row r="66" spans="1:51" s="44" customFormat="1" ht="22" customHeight="1" x14ac:dyDescent="0.2">
      <c r="A66" s="41">
        <f>'ALS 10 BAZAR'!A66</f>
        <v>621</v>
      </c>
      <c r="B66" s="165" t="str">
        <f>'ALS 10 BAZAR'!B66:E66</f>
        <v>CAIXOTE P SEM ADESIVO</v>
      </c>
      <c r="C66" s="182"/>
      <c r="D66" s="182"/>
      <c r="E66" s="166"/>
      <c r="F66" s="42">
        <f>'ALS 10 BAZAR'!F66</f>
        <v>6</v>
      </c>
      <c r="G66" s="43">
        <f>'ALS 10 BAZAR'!G66</f>
        <v>0</v>
      </c>
      <c r="H66" s="39">
        <f t="shared" si="0"/>
        <v>0</v>
      </c>
      <c r="I66" s="39"/>
      <c r="J66" s="47"/>
      <c r="K66" s="49"/>
      <c r="L66" s="50"/>
      <c r="M66" s="165"/>
      <c r="N66" s="166"/>
      <c r="O66" s="167"/>
      <c r="P66" s="168"/>
      <c r="Q66" s="165"/>
      <c r="R66" s="166"/>
      <c r="S66" s="167"/>
      <c r="T66" s="168"/>
      <c r="U66" s="165"/>
      <c r="V66" s="166"/>
      <c r="W66" s="167"/>
      <c r="X66" s="168"/>
      <c r="Y66" s="165"/>
      <c r="Z66" s="166"/>
      <c r="AA66" s="167"/>
      <c r="AB66" s="168"/>
      <c r="AC66" s="165"/>
      <c r="AD66" s="166"/>
      <c r="AE66" s="167"/>
      <c r="AF66" s="168"/>
      <c r="AG66" s="165"/>
      <c r="AH66" s="166"/>
      <c r="AI66" s="167"/>
      <c r="AJ66" s="168"/>
      <c r="AK66" s="165"/>
      <c r="AL66" s="166"/>
      <c r="AM66" s="167"/>
      <c r="AN66" s="168"/>
      <c r="AO66" s="165"/>
      <c r="AP66" s="166"/>
      <c r="AQ66" s="167"/>
      <c r="AR66" s="168"/>
      <c r="AS66" s="165"/>
      <c r="AT66" s="166"/>
      <c r="AU66" s="167"/>
      <c r="AV66" s="168"/>
      <c r="AW66" s="23"/>
      <c r="AX66" s="23"/>
      <c r="AY66" s="23"/>
    </row>
    <row r="67" spans="1:51" s="44" customFormat="1" ht="22" customHeight="1" x14ac:dyDescent="0.2">
      <c r="A67" s="41">
        <f>'ALS 10 BAZAR'!A67</f>
        <v>622</v>
      </c>
      <c r="B67" s="165" t="str">
        <f>'ALS 10 BAZAR'!B67:E67</f>
        <v>CAIXOTE M SEM ADESIVO</v>
      </c>
      <c r="C67" s="182"/>
      <c r="D67" s="182"/>
      <c r="E67" s="166"/>
      <c r="F67" s="42">
        <f>'ALS 10 BAZAR'!F67</f>
        <v>6</v>
      </c>
      <c r="G67" s="43">
        <f>'ALS 10 BAZAR'!G67</f>
        <v>0</v>
      </c>
      <c r="H67" s="39">
        <f t="shared" si="0"/>
        <v>0</v>
      </c>
      <c r="I67" s="39"/>
      <c r="J67" s="47"/>
      <c r="K67" s="49"/>
      <c r="L67" s="50"/>
      <c r="M67" s="165"/>
      <c r="N67" s="166"/>
      <c r="O67" s="167"/>
      <c r="P67" s="168"/>
      <c r="Q67" s="165"/>
      <c r="R67" s="166"/>
      <c r="S67" s="167"/>
      <c r="T67" s="168"/>
      <c r="U67" s="165"/>
      <c r="V67" s="166"/>
      <c r="W67" s="167"/>
      <c r="X67" s="168"/>
      <c r="Y67" s="165"/>
      <c r="Z67" s="166"/>
      <c r="AA67" s="167"/>
      <c r="AB67" s="168"/>
      <c r="AC67" s="165"/>
      <c r="AD67" s="166"/>
      <c r="AE67" s="167"/>
      <c r="AF67" s="168"/>
      <c r="AG67" s="165"/>
      <c r="AH67" s="166"/>
      <c r="AI67" s="167"/>
      <c r="AJ67" s="168"/>
      <c r="AK67" s="165"/>
      <c r="AL67" s="166"/>
      <c r="AM67" s="167"/>
      <c r="AN67" s="168"/>
      <c r="AO67" s="165"/>
      <c r="AP67" s="166"/>
      <c r="AQ67" s="167"/>
      <c r="AR67" s="168"/>
      <c r="AS67" s="165"/>
      <c r="AT67" s="166"/>
      <c r="AU67" s="167"/>
      <c r="AV67" s="168"/>
      <c r="AW67" s="23"/>
      <c r="AX67" s="23"/>
      <c r="AY67" s="23"/>
    </row>
    <row r="68" spans="1:51" s="44" customFormat="1" ht="22" customHeight="1" x14ac:dyDescent="0.2">
      <c r="A68" s="41">
        <f>'ALS 10 BAZAR'!A68</f>
        <v>0</v>
      </c>
      <c r="B68" s="165" t="str">
        <f>'ALS 10 BAZAR'!B68:E68</f>
        <v>PRATELEIRA 3 ANDAR DESMONTADA</v>
      </c>
      <c r="C68" s="182"/>
      <c r="D68" s="182"/>
      <c r="E68" s="166"/>
      <c r="F68" s="42">
        <f>'ALS 10 BAZAR'!F68</f>
        <v>6</v>
      </c>
      <c r="G68" s="43">
        <f>'ALS 10 BAZAR'!G68</f>
        <v>0</v>
      </c>
      <c r="H68" s="39">
        <f t="shared" si="0"/>
        <v>0</v>
      </c>
      <c r="I68" s="39"/>
      <c r="J68" s="47"/>
      <c r="K68" s="49"/>
      <c r="L68" s="50"/>
      <c r="M68" s="165"/>
      <c r="N68" s="166"/>
      <c r="O68" s="167"/>
      <c r="P68" s="168"/>
      <c r="Q68" s="165"/>
      <c r="R68" s="166"/>
      <c r="S68" s="167"/>
      <c r="T68" s="168"/>
      <c r="U68" s="165"/>
      <c r="V68" s="166"/>
      <c r="W68" s="167"/>
      <c r="X68" s="168"/>
      <c r="Y68" s="165"/>
      <c r="Z68" s="166"/>
      <c r="AA68" s="167"/>
      <c r="AB68" s="168"/>
      <c r="AC68" s="165"/>
      <c r="AD68" s="166"/>
      <c r="AE68" s="167"/>
      <c r="AF68" s="168"/>
      <c r="AG68" s="165"/>
      <c r="AH68" s="166"/>
      <c r="AI68" s="167"/>
      <c r="AJ68" s="168"/>
      <c r="AK68" s="165"/>
      <c r="AL68" s="166"/>
      <c r="AM68" s="167"/>
      <c r="AN68" s="168"/>
      <c r="AO68" s="165"/>
      <c r="AP68" s="166"/>
      <c r="AQ68" s="167"/>
      <c r="AR68" s="168"/>
      <c r="AS68" s="165"/>
      <c r="AT68" s="166"/>
      <c r="AU68" s="167"/>
      <c r="AV68" s="168"/>
      <c r="AW68" s="23"/>
      <c r="AX68" s="23"/>
      <c r="AY68" s="23"/>
    </row>
    <row r="69" spans="1:51" s="44" customFormat="1" ht="22" customHeight="1" x14ac:dyDescent="0.2">
      <c r="A69" s="41">
        <f>'ALS 10 BAZAR'!A69</f>
        <v>1912</v>
      </c>
      <c r="B69" s="165" t="str">
        <f>'ALS 10 BAZAR'!B69:E69</f>
        <v>BANDEJA MDF CRU</v>
      </c>
      <c r="C69" s="182"/>
      <c r="D69" s="182"/>
      <c r="E69" s="166"/>
      <c r="F69" s="42">
        <f>'ALS 10 BAZAR'!F69</f>
        <v>6</v>
      </c>
      <c r="G69" s="43">
        <f>'ALS 10 BAZAR'!G69</f>
        <v>0</v>
      </c>
      <c r="H69" s="39">
        <f t="shared" si="0"/>
        <v>0</v>
      </c>
      <c r="I69" s="39"/>
      <c r="J69" s="47"/>
      <c r="K69" s="49"/>
      <c r="L69" s="50"/>
      <c r="M69" s="165"/>
      <c r="N69" s="166"/>
      <c r="O69" s="167"/>
      <c r="P69" s="168"/>
      <c r="Q69" s="165"/>
      <c r="R69" s="166"/>
      <c r="S69" s="167"/>
      <c r="T69" s="168"/>
      <c r="U69" s="165"/>
      <c r="V69" s="166"/>
      <c r="W69" s="167"/>
      <c r="X69" s="168"/>
      <c r="Y69" s="165"/>
      <c r="Z69" s="166"/>
      <c r="AA69" s="167"/>
      <c r="AB69" s="168"/>
      <c r="AC69" s="165"/>
      <c r="AD69" s="166"/>
      <c r="AE69" s="167"/>
      <c r="AF69" s="168"/>
      <c r="AG69" s="165"/>
      <c r="AH69" s="166"/>
      <c r="AI69" s="167"/>
      <c r="AJ69" s="168"/>
      <c r="AK69" s="165"/>
      <c r="AL69" s="166"/>
      <c r="AM69" s="167"/>
      <c r="AN69" s="168"/>
      <c r="AO69" s="165"/>
      <c r="AP69" s="166"/>
      <c r="AQ69" s="167"/>
      <c r="AR69" s="168"/>
      <c r="AS69" s="165"/>
      <c r="AT69" s="166"/>
      <c r="AU69" s="167"/>
      <c r="AV69" s="168"/>
      <c r="AW69" s="23"/>
      <c r="AX69" s="23"/>
      <c r="AY69" s="23"/>
    </row>
    <row r="70" spans="1:51" s="44" customFormat="1" ht="22" customHeight="1" x14ac:dyDescent="0.2">
      <c r="A70" s="41">
        <f>'ALS 10 BAZAR'!A70</f>
        <v>1896</v>
      </c>
      <c r="B70" s="165" t="str">
        <f>'ALS 10 BAZAR'!B70:E70</f>
        <v>CAIXA CRU 19X19</v>
      </c>
      <c r="C70" s="182"/>
      <c r="D70" s="182"/>
      <c r="E70" s="166"/>
      <c r="F70" s="42">
        <f>'ALS 10 BAZAR'!F70</f>
        <v>6</v>
      </c>
      <c r="G70" s="43">
        <f>'ALS 10 BAZAR'!G70</f>
        <v>0</v>
      </c>
      <c r="H70" s="39">
        <f t="shared" si="0"/>
        <v>0</v>
      </c>
      <c r="I70" s="39"/>
      <c r="J70" s="47"/>
      <c r="K70" s="49"/>
      <c r="L70" s="50"/>
      <c r="M70" s="165"/>
      <c r="N70" s="166"/>
      <c r="O70" s="167"/>
      <c r="P70" s="168"/>
      <c r="Q70" s="165"/>
      <c r="R70" s="166"/>
      <c r="S70" s="167"/>
      <c r="T70" s="168"/>
      <c r="U70" s="165"/>
      <c r="V70" s="166"/>
      <c r="W70" s="167"/>
      <c r="X70" s="168"/>
      <c r="Y70" s="165"/>
      <c r="Z70" s="166"/>
      <c r="AA70" s="167"/>
      <c r="AB70" s="168"/>
      <c r="AC70" s="165"/>
      <c r="AD70" s="166"/>
      <c r="AE70" s="167"/>
      <c r="AF70" s="168"/>
      <c r="AG70" s="165"/>
      <c r="AH70" s="166"/>
      <c r="AI70" s="167"/>
      <c r="AJ70" s="168"/>
      <c r="AK70" s="165"/>
      <c r="AL70" s="166"/>
      <c r="AM70" s="167"/>
      <c r="AN70" s="168"/>
      <c r="AO70" s="165"/>
      <c r="AP70" s="166"/>
      <c r="AQ70" s="167"/>
      <c r="AR70" s="168"/>
      <c r="AS70" s="165"/>
      <c r="AT70" s="166"/>
      <c r="AU70" s="167"/>
      <c r="AV70" s="168"/>
      <c r="AW70" s="23"/>
      <c r="AX70" s="23"/>
      <c r="AY70" s="23"/>
    </row>
    <row r="71" spans="1:51" s="44" customFormat="1" ht="22" customHeight="1" x14ac:dyDescent="0.2">
      <c r="A71" s="41">
        <f>'ALS 10 BAZAR'!A71</f>
        <v>1904</v>
      </c>
      <c r="B71" s="165" t="str">
        <f>'ALS 10 BAZAR'!B71:E71</f>
        <v>CAIXA CRU 27X27</v>
      </c>
      <c r="C71" s="182"/>
      <c r="D71" s="182"/>
      <c r="E71" s="166"/>
      <c r="F71" s="42">
        <f>'ALS 10 BAZAR'!F71</f>
        <v>6</v>
      </c>
      <c r="G71" s="43">
        <f>'ALS 10 BAZAR'!G71</f>
        <v>100</v>
      </c>
      <c r="H71" s="39">
        <f t="shared" si="0"/>
        <v>600</v>
      </c>
      <c r="I71" s="39"/>
      <c r="J71" s="47"/>
      <c r="K71" s="49"/>
      <c r="L71" s="50"/>
      <c r="M71" s="165"/>
      <c r="N71" s="166"/>
      <c r="O71" s="167"/>
      <c r="P71" s="168"/>
      <c r="Q71" s="165"/>
      <c r="R71" s="166"/>
      <c r="S71" s="167"/>
      <c r="T71" s="168"/>
      <c r="U71" s="165"/>
      <c r="V71" s="166"/>
      <c r="W71" s="167"/>
      <c r="X71" s="168"/>
      <c r="Y71" s="165"/>
      <c r="Z71" s="166"/>
      <c r="AA71" s="167"/>
      <c r="AB71" s="168"/>
      <c r="AC71" s="165"/>
      <c r="AD71" s="166"/>
      <c r="AE71" s="167"/>
      <c r="AF71" s="168"/>
      <c r="AG71" s="165"/>
      <c r="AH71" s="166"/>
      <c r="AI71" s="167"/>
      <c r="AJ71" s="168"/>
      <c r="AK71" s="165"/>
      <c r="AL71" s="166"/>
      <c r="AM71" s="167"/>
      <c r="AN71" s="168"/>
      <c r="AO71" s="165"/>
      <c r="AP71" s="166"/>
      <c r="AQ71" s="167"/>
      <c r="AR71" s="168"/>
      <c r="AS71" s="165"/>
      <c r="AT71" s="166"/>
      <c r="AU71" s="167"/>
      <c r="AV71" s="168"/>
      <c r="AW71" s="23"/>
      <c r="AX71" s="23"/>
      <c r="AY71" s="23"/>
    </row>
    <row r="72" spans="1:51" s="44" customFormat="1" ht="22" customHeight="1" x14ac:dyDescent="0.2">
      <c r="A72" s="41">
        <f>'ALS 10 BAZAR'!A72</f>
        <v>1905</v>
      </c>
      <c r="B72" s="165" t="str">
        <f>'ALS 10 BAZAR'!B72:E72</f>
        <v>CAIXA CRU 17X27</v>
      </c>
      <c r="C72" s="182"/>
      <c r="D72" s="182"/>
      <c r="E72" s="166"/>
      <c r="F72" s="42">
        <f>'ALS 10 BAZAR'!F72</f>
        <v>6</v>
      </c>
      <c r="G72" s="43">
        <f>'ALS 10 BAZAR'!G72</f>
        <v>0</v>
      </c>
      <c r="H72" s="39">
        <f t="shared" si="0"/>
        <v>0</v>
      </c>
      <c r="I72" s="39"/>
      <c r="J72" s="47"/>
      <c r="K72" s="49"/>
      <c r="L72" s="50"/>
      <c r="M72" s="165"/>
      <c r="N72" s="166"/>
      <c r="O72" s="167"/>
      <c r="P72" s="168"/>
      <c r="Q72" s="165"/>
      <c r="R72" s="166"/>
      <c r="S72" s="167"/>
      <c r="T72" s="168"/>
      <c r="U72" s="165"/>
      <c r="V72" s="166"/>
      <c r="W72" s="167"/>
      <c r="X72" s="168"/>
      <c r="Y72" s="165"/>
      <c r="Z72" s="166"/>
      <c r="AA72" s="167"/>
      <c r="AB72" s="168"/>
      <c r="AC72" s="165"/>
      <c r="AD72" s="166"/>
      <c r="AE72" s="167"/>
      <c r="AF72" s="168"/>
      <c r="AG72" s="165"/>
      <c r="AH72" s="166"/>
      <c r="AI72" s="167"/>
      <c r="AJ72" s="168"/>
      <c r="AK72" s="165"/>
      <c r="AL72" s="166"/>
      <c r="AM72" s="167"/>
      <c r="AN72" s="168"/>
      <c r="AO72" s="165"/>
      <c r="AP72" s="166"/>
      <c r="AQ72" s="167"/>
      <c r="AR72" s="168"/>
      <c r="AS72" s="165"/>
      <c r="AT72" s="166"/>
      <c r="AU72" s="167"/>
      <c r="AV72" s="168"/>
      <c r="AW72" s="23"/>
      <c r="AX72" s="23"/>
      <c r="AY72" s="23"/>
    </row>
    <row r="73" spans="1:51" s="44" customFormat="1" ht="22" customHeight="1" x14ac:dyDescent="0.2">
      <c r="A73" s="41">
        <f>'ALS 10 BAZAR'!A73</f>
        <v>1997</v>
      </c>
      <c r="B73" s="165" t="str">
        <f>'ALS 10 BAZAR'!B73:E73</f>
        <v>CAIXA CRU 30X23</v>
      </c>
      <c r="C73" s="182"/>
      <c r="D73" s="182"/>
      <c r="E73" s="166"/>
      <c r="F73" s="42">
        <f>'ALS 10 BAZAR'!F73</f>
        <v>6</v>
      </c>
      <c r="G73" s="43">
        <f>'ALS 10 BAZAR'!G73</f>
        <v>0</v>
      </c>
      <c r="H73" s="39">
        <f t="shared" si="0"/>
        <v>0</v>
      </c>
      <c r="I73" s="39"/>
      <c r="J73" s="47"/>
      <c r="K73" s="49"/>
      <c r="L73" s="50"/>
      <c r="M73" s="165"/>
      <c r="N73" s="166"/>
      <c r="O73" s="167"/>
      <c r="P73" s="168"/>
      <c r="Q73" s="165"/>
      <c r="R73" s="166"/>
      <c r="S73" s="167"/>
      <c r="T73" s="168"/>
      <c r="U73" s="165"/>
      <c r="V73" s="166"/>
      <c r="W73" s="167"/>
      <c r="X73" s="168"/>
      <c r="Y73" s="165"/>
      <c r="Z73" s="166"/>
      <c r="AA73" s="167"/>
      <c r="AB73" s="168"/>
      <c r="AC73" s="165"/>
      <c r="AD73" s="166"/>
      <c r="AE73" s="167"/>
      <c r="AF73" s="168"/>
      <c r="AG73" s="165"/>
      <c r="AH73" s="166"/>
      <c r="AI73" s="167"/>
      <c r="AJ73" s="168"/>
      <c r="AK73" s="165"/>
      <c r="AL73" s="166"/>
      <c r="AM73" s="167"/>
      <c r="AN73" s="168"/>
      <c r="AO73" s="165"/>
      <c r="AP73" s="166"/>
      <c r="AQ73" s="167"/>
      <c r="AR73" s="168"/>
      <c r="AS73" s="165"/>
      <c r="AT73" s="166"/>
      <c r="AU73" s="167"/>
      <c r="AV73" s="168"/>
      <c r="AW73" s="23"/>
      <c r="AX73" s="23"/>
      <c r="AY73" s="23"/>
    </row>
    <row r="74" spans="1:51" s="44" customFormat="1" ht="22" customHeight="1" x14ac:dyDescent="0.2">
      <c r="A74" s="41">
        <f>'ALS 10 BAZAR'!A74</f>
        <v>629</v>
      </c>
      <c r="B74" s="165" t="str">
        <f>'ALS 10 BAZAR'!B74:E74</f>
        <v>CAIXA 10L SEM ADESIVO</v>
      </c>
      <c r="C74" s="182"/>
      <c r="D74" s="182"/>
      <c r="E74" s="166"/>
      <c r="F74" s="42">
        <f>'ALS 10 BAZAR'!F74</f>
        <v>6</v>
      </c>
      <c r="G74" s="43">
        <f>'ALS 10 BAZAR'!G74</f>
        <v>100</v>
      </c>
      <c r="H74" s="39">
        <f t="shared" si="0"/>
        <v>600</v>
      </c>
      <c r="I74" s="39"/>
      <c r="J74" s="47"/>
      <c r="K74" s="49"/>
      <c r="L74" s="50"/>
      <c r="M74" s="165"/>
      <c r="N74" s="166"/>
      <c r="O74" s="167"/>
      <c r="P74" s="168"/>
      <c r="Q74" s="165"/>
      <c r="R74" s="166"/>
      <c r="S74" s="167"/>
      <c r="T74" s="168"/>
      <c r="U74" s="165"/>
      <c r="V74" s="166"/>
      <c r="W74" s="167"/>
      <c r="X74" s="168"/>
      <c r="Y74" s="165"/>
      <c r="Z74" s="166"/>
      <c r="AA74" s="167"/>
      <c r="AB74" s="168"/>
      <c r="AC74" s="165"/>
      <c r="AD74" s="166"/>
      <c r="AE74" s="167"/>
      <c r="AF74" s="168"/>
      <c r="AG74" s="165"/>
      <c r="AH74" s="166"/>
      <c r="AI74" s="167"/>
      <c r="AJ74" s="168"/>
      <c r="AK74" s="165"/>
      <c r="AL74" s="166"/>
      <c r="AM74" s="167"/>
      <c r="AN74" s="168"/>
      <c r="AO74" s="165"/>
      <c r="AP74" s="166"/>
      <c r="AQ74" s="167"/>
      <c r="AR74" s="168"/>
      <c r="AS74" s="165"/>
      <c r="AT74" s="166"/>
      <c r="AU74" s="167"/>
      <c r="AV74" s="168"/>
      <c r="AW74" s="23"/>
      <c r="AX74" s="23"/>
      <c r="AY74" s="23"/>
    </row>
    <row r="75" spans="1:51" s="44" customFormat="1" ht="22" customHeight="1" x14ac:dyDescent="0.2">
      <c r="A75" s="41">
        <f>'ALS 10 BAZAR'!A75</f>
        <v>0</v>
      </c>
      <c r="B75" s="165" t="str">
        <f>'ALS 10 BAZAR'!B75:E75</f>
        <v>BAU DECORATIVO</v>
      </c>
      <c r="C75" s="182"/>
      <c r="D75" s="182"/>
      <c r="E75" s="166"/>
      <c r="F75" s="42">
        <f>'ALS 10 BAZAR'!F75</f>
        <v>6</v>
      </c>
      <c r="G75" s="43">
        <f>'ALS 10 BAZAR'!G75</f>
        <v>0</v>
      </c>
      <c r="H75" s="39">
        <f t="shared" si="0"/>
        <v>0</v>
      </c>
      <c r="I75" s="39"/>
      <c r="J75" s="47"/>
      <c r="K75" s="49"/>
      <c r="L75" s="50"/>
      <c r="M75" s="165"/>
      <c r="N75" s="166"/>
      <c r="O75" s="167"/>
      <c r="P75" s="168"/>
      <c r="Q75" s="165"/>
      <c r="R75" s="166"/>
      <c r="S75" s="167"/>
      <c r="T75" s="168"/>
      <c r="U75" s="165"/>
      <c r="V75" s="166"/>
      <c r="W75" s="167"/>
      <c r="X75" s="168"/>
      <c r="Y75" s="165"/>
      <c r="Z75" s="166"/>
      <c r="AA75" s="167"/>
      <c r="AB75" s="168"/>
      <c r="AC75" s="165"/>
      <c r="AD75" s="166"/>
      <c r="AE75" s="167"/>
      <c r="AF75" s="168"/>
      <c r="AG75" s="165"/>
      <c r="AH75" s="166"/>
      <c r="AI75" s="167"/>
      <c r="AJ75" s="168"/>
      <c r="AK75" s="165"/>
      <c r="AL75" s="166"/>
      <c r="AM75" s="167"/>
      <c r="AN75" s="168"/>
      <c r="AO75" s="165"/>
      <c r="AP75" s="166"/>
      <c r="AQ75" s="167"/>
      <c r="AR75" s="168"/>
      <c r="AS75" s="165"/>
      <c r="AT75" s="166"/>
      <c r="AU75" s="167"/>
      <c r="AV75" s="168"/>
      <c r="AW75" s="23"/>
      <c r="AX75" s="23"/>
      <c r="AY75" s="23"/>
    </row>
    <row r="76" spans="1:51" s="44" customFormat="1" ht="22" customHeight="1" x14ac:dyDescent="0.2">
      <c r="A76" s="41">
        <f>'ALS 10 BAZAR'!A76</f>
        <v>793</v>
      </c>
      <c r="B76" s="165" t="str">
        <f>'ALS 10 BAZAR'!B76:E76</f>
        <v>COFRE LONDON</v>
      </c>
      <c r="C76" s="182"/>
      <c r="D76" s="182"/>
      <c r="E76" s="166"/>
      <c r="F76" s="42">
        <f>'ALS 10 BAZAR'!F76</f>
        <v>6</v>
      </c>
      <c r="G76" s="43">
        <f>'ALS 10 BAZAR'!G76</f>
        <v>0</v>
      </c>
      <c r="H76" s="39">
        <f t="shared" si="0"/>
        <v>0</v>
      </c>
      <c r="I76" s="39"/>
      <c r="J76" s="47"/>
      <c r="K76" s="49"/>
      <c r="L76" s="50"/>
      <c r="M76" s="165"/>
      <c r="N76" s="166"/>
      <c r="O76" s="167"/>
      <c r="P76" s="168"/>
      <c r="Q76" s="165"/>
      <c r="R76" s="166"/>
      <c r="S76" s="167"/>
      <c r="T76" s="168"/>
      <c r="U76" s="165"/>
      <c r="V76" s="166"/>
      <c r="W76" s="167"/>
      <c r="X76" s="168"/>
      <c r="Y76" s="165"/>
      <c r="Z76" s="166"/>
      <c r="AA76" s="167"/>
      <c r="AB76" s="168"/>
      <c r="AC76" s="165"/>
      <c r="AD76" s="166"/>
      <c r="AE76" s="167"/>
      <c r="AF76" s="168"/>
      <c r="AG76" s="165"/>
      <c r="AH76" s="166"/>
      <c r="AI76" s="167"/>
      <c r="AJ76" s="168"/>
      <c r="AK76" s="165"/>
      <c r="AL76" s="166"/>
      <c r="AM76" s="167"/>
      <c r="AN76" s="168"/>
      <c r="AO76" s="165"/>
      <c r="AP76" s="166"/>
      <c r="AQ76" s="167"/>
      <c r="AR76" s="168"/>
      <c r="AS76" s="165"/>
      <c r="AT76" s="166"/>
      <c r="AU76" s="167"/>
      <c r="AV76" s="168"/>
      <c r="AW76" s="23"/>
      <c r="AX76" s="23"/>
      <c r="AY76" s="23"/>
    </row>
    <row r="77" spans="1:51" s="44" customFormat="1" ht="22" customHeight="1" x14ac:dyDescent="0.2">
      <c r="A77" s="41">
        <f>'ALS 10 BAZAR'!A77</f>
        <v>1036</v>
      </c>
      <c r="B77" s="165" t="str">
        <f>'ALS 10 BAZAR'!B77:E77</f>
        <v>PORTA MAQUIAGEM</v>
      </c>
      <c r="C77" s="182"/>
      <c r="D77" s="182"/>
      <c r="E77" s="166"/>
      <c r="F77" s="42">
        <f>'ALS 10 BAZAR'!F77</f>
        <v>6</v>
      </c>
      <c r="G77" s="43">
        <f>'ALS 10 BAZAR'!G77</f>
        <v>0</v>
      </c>
      <c r="H77" s="39">
        <f t="shared" si="0"/>
        <v>0</v>
      </c>
      <c r="I77" s="39"/>
      <c r="J77" s="47"/>
      <c r="K77" s="49"/>
      <c r="L77" s="50"/>
      <c r="M77" s="165"/>
      <c r="N77" s="166"/>
      <c r="O77" s="167"/>
      <c r="P77" s="168"/>
      <c r="Q77" s="165"/>
      <c r="R77" s="166"/>
      <c r="S77" s="167"/>
      <c r="T77" s="168"/>
      <c r="U77" s="165"/>
      <c r="V77" s="166"/>
      <c r="W77" s="167"/>
      <c r="X77" s="168"/>
      <c r="Y77" s="165"/>
      <c r="Z77" s="166"/>
      <c r="AA77" s="167"/>
      <c r="AB77" s="168"/>
      <c r="AC77" s="165"/>
      <c r="AD77" s="166"/>
      <c r="AE77" s="167"/>
      <c r="AF77" s="168"/>
      <c r="AG77" s="165"/>
      <c r="AH77" s="166"/>
      <c r="AI77" s="167"/>
      <c r="AJ77" s="168"/>
      <c r="AK77" s="165"/>
      <c r="AL77" s="166"/>
      <c r="AM77" s="167"/>
      <c r="AN77" s="168"/>
      <c r="AO77" s="165"/>
      <c r="AP77" s="166"/>
      <c r="AQ77" s="167"/>
      <c r="AR77" s="168"/>
      <c r="AS77" s="165"/>
      <c r="AT77" s="166"/>
      <c r="AU77" s="167"/>
      <c r="AV77" s="168"/>
      <c r="AW77" s="23"/>
      <c r="AX77" s="23"/>
      <c r="AY77" s="23"/>
    </row>
    <row r="78" spans="1:51" s="44" customFormat="1" ht="22" customHeight="1" x14ac:dyDescent="0.2">
      <c r="A78" s="41">
        <f>'ALS 10 BAZAR'!A78</f>
        <v>1084</v>
      </c>
      <c r="B78" s="165" t="str">
        <f>'ALS 10 BAZAR'!B78:E78</f>
        <v>PORTA MAQUIAGEM GOLD</v>
      </c>
      <c r="C78" s="182"/>
      <c r="D78" s="182"/>
      <c r="E78" s="166"/>
      <c r="F78" s="42">
        <f>'ALS 10 BAZAR'!F78</f>
        <v>6</v>
      </c>
      <c r="G78" s="43">
        <f>'ALS 10 BAZAR'!G78</f>
        <v>0</v>
      </c>
      <c r="H78" s="39">
        <f t="shared" si="0"/>
        <v>0</v>
      </c>
      <c r="I78" s="39"/>
      <c r="J78" s="47"/>
      <c r="K78" s="49"/>
      <c r="L78" s="50"/>
      <c r="M78" s="165"/>
      <c r="N78" s="166"/>
      <c r="O78" s="167"/>
      <c r="P78" s="168"/>
      <c r="Q78" s="165"/>
      <c r="R78" s="166"/>
      <c r="S78" s="167"/>
      <c r="T78" s="168"/>
      <c r="U78" s="165"/>
      <c r="V78" s="166"/>
      <c r="W78" s="167"/>
      <c r="X78" s="168"/>
      <c r="Y78" s="165"/>
      <c r="Z78" s="166"/>
      <c r="AA78" s="167"/>
      <c r="AB78" s="168"/>
      <c r="AC78" s="165"/>
      <c r="AD78" s="166"/>
      <c r="AE78" s="167"/>
      <c r="AF78" s="168"/>
      <c r="AG78" s="165"/>
      <c r="AH78" s="166"/>
      <c r="AI78" s="167"/>
      <c r="AJ78" s="168"/>
      <c r="AK78" s="165"/>
      <c r="AL78" s="166"/>
      <c r="AM78" s="167"/>
      <c r="AN78" s="168"/>
      <c r="AO78" s="165"/>
      <c r="AP78" s="166"/>
      <c r="AQ78" s="167"/>
      <c r="AR78" s="168"/>
      <c r="AS78" s="165"/>
      <c r="AT78" s="166"/>
      <c r="AU78" s="167"/>
      <c r="AV78" s="168"/>
      <c r="AW78" s="23"/>
      <c r="AX78" s="23"/>
      <c r="AY78" s="23"/>
    </row>
    <row r="79" spans="1:51" s="44" customFormat="1" ht="22" customHeight="1" x14ac:dyDescent="0.2">
      <c r="A79" s="41">
        <f>'ALS 10 BAZAR'!A79</f>
        <v>1894</v>
      </c>
      <c r="B79" s="165" t="str">
        <f>'ALS 10 BAZAR'!B79:E79</f>
        <v>BANDEJA MARMORIZADA</v>
      </c>
      <c r="C79" s="182"/>
      <c r="D79" s="182"/>
      <c r="E79" s="166"/>
      <c r="F79" s="42">
        <f>'ALS 10 BAZAR'!F79</f>
        <v>6</v>
      </c>
      <c r="G79" s="43">
        <f>'ALS 10 BAZAR'!G79</f>
        <v>0</v>
      </c>
      <c r="H79" s="39">
        <f t="shared" si="0"/>
        <v>0</v>
      </c>
      <c r="I79" s="39"/>
      <c r="J79" s="47"/>
      <c r="K79" s="49"/>
      <c r="L79" s="50"/>
      <c r="M79" s="165"/>
      <c r="N79" s="166"/>
      <c r="O79" s="167"/>
      <c r="P79" s="168"/>
      <c r="Q79" s="165"/>
      <c r="R79" s="166"/>
      <c r="S79" s="167"/>
      <c r="T79" s="168"/>
      <c r="U79" s="165"/>
      <c r="V79" s="166"/>
      <c r="W79" s="167"/>
      <c r="X79" s="168"/>
      <c r="Y79" s="165"/>
      <c r="Z79" s="166"/>
      <c r="AA79" s="167"/>
      <c r="AB79" s="168"/>
      <c r="AC79" s="165"/>
      <c r="AD79" s="166"/>
      <c r="AE79" s="167"/>
      <c r="AF79" s="168"/>
      <c r="AG79" s="165"/>
      <c r="AH79" s="166"/>
      <c r="AI79" s="167"/>
      <c r="AJ79" s="168"/>
      <c r="AK79" s="165"/>
      <c r="AL79" s="166"/>
      <c r="AM79" s="167"/>
      <c r="AN79" s="168"/>
      <c r="AO79" s="165"/>
      <c r="AP79" s="166"/>
      <c r="AQ79" s="167"/>
      <c r="AR79" s="168"/>
      <c r="AS79" s="165"/>
      <c r="AT79" s="166"/>
      <c r="AU79" s="167"/>
      <c r="AV79" s="168"/>
      <c r="AW79" s="23"/>
      <c r="AX79" s="23"/>
      <c r="AY79" s="23"/>
    </row>
    <row r="80" spans="1:51" s="44" customFormat="1" ht="22" customHeight="1" x14ac:dyDescent="0.2">
      <c r="A80" s="41">
        <f>'ALS 10 BAZAR'!A80</f>
        <v>988</v>
      </c>
      <c r="B80" s="165" t="str">
        <f>'ALS 10 BAZAR'!B80:E80</f>
        <v>PUXA SACO</v>
      </c>
      <c r="C80" s="182"/>
      <c r="D80" s="182"/>
      <c r="E80" s="166"/>
      <c r="F80" s="42">
        <f>'ALS 10 BAZAR'!F80</f>
        <v>6</v>
      </c>
      <c r="G80" s="43">
        <f>'ALS 10 BAZAR'!G80</f>
        <v>0</v>
      </c>
      <c r="H80" s="39">
        <f t="shared" si="0"/>
        <v>0</v>
      </c>
      <c r="I80" s="39"/>
      <c r="J80" s="47"/>
      <c r="K80" s="49"/>
      <c r="L80" s="50"/>
      <c r="M80" s="165"/>
      <c r="N80" s="166"/>
      <c r="O80" s="167"/>
      <c r="P80" s="168"/>
      <c r="Q80" s="165"/>
      <c r="R80" s="166"/>
      <c r="S80" s="167"/>
      <c r="T80" s="168"/>
      <c r="U80" s="165"/>
      <c r="V80" s="166"/>
      <c r="W80" s="167"/>
      <c r="X80" s="168"/>
      <c r="Y80" s="165"/>
      <c r="Z80" s="166"/>
      <c r="AA80" s="167"/>
      <c r="AB80" s="168"/>
      <c r="AC80" s="165"/>
      <c r="AD80" s="166"/>
      <c r="AE80" s="167"/>
      <c r="AF80" s="168"/>
      <c r="AG80" s="165"/>
      <c r="AH80" s="166"/>
      <c r="AI80" s="167"/>
      <c r="AJ80" s="168"/>
      <c r="AK80" s="165"/>
      <c r="AL80" s="166"/>
      <c r="AM80" s="167"/>
      <c r="AN80" s="168"/>
      <c r="AO80" s="165"/>
      <c r="AP80" s="166"/>
      <c r="AQ80" s="167"/>
      <c r="AR80" s="168"/>
      <c r="AS80" s="165"/>
      <c r="AT80" s="166"/>
      <c r="AU80" s="167"/>
      <c r="AV80" s="168"/>
      <c r="AW80" s="23"/>
      <c r="AX80" s="23"/>
      <c r="AY80" s="23"/>
    </row>
    <row r="81" spans="1:51" s="44" customFormat="1" ht="22" customHeight="1" x14ac:dyDescent="0.2">
      <c r="A81" s="41">
        <f>'ALS 10 BAZAR'!A81</f>
        <v>1119</v>
      </c>
      <c r="B81" s="165" t="str">
        <f>'ALS 10 BAZAR'!B81:E81</f>
        <v>QUADRO FRASES ENGRACADAS</v>
      </c>
      <c r="C81" s="182"/>
      <c r="D81" s="182"/>
      <c r="E81" s="166"/>
      <c r="F81" s="42">
        <f>'ALS 10 BAZAR'!F81</f>
        <v>6</v>
      </c>
      <c r="G81" s="43">
        <f>'ALS 10 BAZAR'!G81</f>
        <v>0</v>
      </c>
      <c r="H81" s="39">
        <f t="shared" si="0"/>
        <v>0</v>
      </c>
      <c r="I81" s="39"/>
      <c r="J81" s="47"/>
      <c r="K81" s="49"/>
      <c r="L81" s="50"/>
      <c r="M81" s="165"/>
      <c r="N81" s="166"/>
      <c r="O81" s="167"/>
      <c r="P81" s="168"/>
      <c r="Q81" s="165"/>
      <c r="R81" s="166"/>
      <c r="S81" s="167"/>
      <c r="T81" s="168"/>
      <c r="U81" s="165"/>
      <c r="V81" s="166"/>
      <c r="W81" s="167"/>
      <c r="X81" s="168"/>
      <c r="Y81" s="165"/>
      <c r="Z81" s="166"/>
      <c r="AA81" s="167"/>
      <c r="AB81" s="168"/>
      <c r="AC81" s="165"/>
      <c r="AD81" s="166"/>
      <c r="AE81" s="167"/>
      <c r="AF81" s="168"/>
      <c r="AG81" s="165"/>
      <c r="AH81" s="166"/>
      <c r="AI81" s="167"/>
      <c r="AJ81" s="168"/>
      <c r="AK81" s="165"/>
      <c r="AL81" s="166"/>
      <c r="AM81" s="167"/>
      <c r="AN81" s="168"/>
      <c r="AO81" s="165"/>
      <c r="AP81" s="166"/>
      <c r="AQ81" s="167"/>
      <c r="AR81" s="168"/>
      <c r="AS81" s="165"/>
      <c r="AT81" s="166"/>
      <c r="AU81" s="167"/>
      <c r="AV81" s="168"/>
      <c r="AW81" s="23"/>
      <c r="AX81" s="23"/>
      <c r="AY81" s="23"/>
    </row>
    <row r="82" spans="1:51" s="44" customFormat="1" ht="22" customHeight="1" x14ac:dyDescent="0.2">
      <c r="A82" s="41">
        <f>'ALS 10 BAZAR'!A82</f>
        <v>1148</v>
      </c>
      <c r="B82" s="165" t="str">
        <f>'ALS 10 BAZAR'!B82:E82</f>
        <v>QUADRO DECORATIVO ANIMAIS</v>
      </c>
      <c r="C82" s="182"/>
      <c r="D82" s="182"/>
      <c r="E82" s="166"/>
      <c r="F82" s="42">
        <f>'ALS 10 BAZAR'!F82</f>
        <v>6</v>
      </c>
      <c r="G82" s="43">
        <f>'ALS 10 BAZAR'!G82</f>
        <v>0</v>
      </c>
      <c r="H82" s="39">
        <f t="shared" si="0"/>
        <v>0</v>
      </c>
      <c r="I82" s="39"/>
      <c r="J82" s="47"/>
      <c r="K82" s="49"/>
      <c r="L82" s="50"/>
      <c r="M82" s="165"/>
      <c r="N82" s="166"/>
      <c r="O82" s="167"/>
      <c r="P82" s="168"/>
      <c r="Q82" s="165"/>
      <c r="R82" s="166"/>
      <c r="S82" s="167"/>
      <c r="T82" s="168"/>
      <c r="U82" s="165"/>
      <c r="V82" s="166"/>
      <c r="W82" s="167"/>
      <c r="X82" s="168"/>
      <c r="Y82" s="165"/>
      <c r="Z82" s="166"/>
      <c r="AA82" s="167"/>
      <c r="AB82" s="168"/>
      <c r="AC82" s="165"/>
      <c r="AD82" s="166"/>
      <c r="AE82" s="167"/>
      <c r="AF82" s="168"/>
      <c r="AG82" s="165"/>
      <c r="AH82" s="166"/>
      <c r="AI82" s="167"/>
      <c r="AJ82" s="168"/>
      <c r="AK82" s="165"/>
      <c r="AL82" s="166"/>
      <c r="AM82" s="167"/>
      <c r="AN82" s="168"/>
      <c r="AO82" s="165"/>
      <c r="AP82" s="166"/>
      <c r="AQ82" s="167"/>
      <c r="AR82" s="168"/>
      <c r="AS82" s="165"/>
      <c r="AT82" s="166"/>
      <c r="AU82" s="167"/>
      <c r="AV82" s="168"/>
      <c r="AW82" s="23"/>
      <c r="AX82" s="23"/>
      <c r="AY82" s="23"/>
    </row>
    <row r="83" spans="1:51" s="44" customFormat="1" ht="22" customHeight="1" x14ac:dyDescent="0.2">
      <c r="A83" s="41">
        <f>'ALS 10 BAZAR'!A83</f>
        <v>1120</v>
      </c>
      <c r="B83" s="165" t="str">
        <f>'ALS 10 BAZAR'!B83:E83</f>
        <v>QUADRO DE ENTRADA</v>
      </c>
      <c r="C83" s="182"/>
      <c r="D83" s="182"/>
      <c r="E83" s="166"/>
      <c r="F83" s="42">
        <f>'ALS 10 BAZAR'!F83</f>
        <v>6</v>
      </c>
      <c r="G83" s="43">
        <f>'ALS 10 BAZAR'!G83</f>
        <v>0</v>
      </c>
      <c r="H83" s="39">
        <f t="shared" si="0"/>
        <v>0</v>
      </c>
      <c r="I83" s="39"/>
      <c r="J83" s="47"/>
      <c r="K83" s="49"/>
      <c r="L83" s="50"/>
      <c r="M83" s="165"/>
      <c r="N83" s="166"/>
      <c r="O83" s="167"/>
      <c r="P83" s="168"/>
      <c r="Q83" s="165"/>
      <c r="R83" s="166"/>
      <c r="S83" s="167"/>
      <c r="T83" s="168"/>
      <c r="U83" s="165"/>
      <c r="V83" s="166"/>
      <c r="W83" s="167"/>
      <c r="X83" s="168"/>
      <c r="Y83" s="165"/>
      <c r="Z83" s="166"/>
      <c r="AA83" s="167"/>
      <c r="AB83" s="168"/>
      <c r="AC83" s="165"/>
      <c r="AD83" s="166"/>
      <c r="AE83" s="167"/>
      <c r="AF83" s="168"/>
      <c r="AG83" s="165"/>
      <c r="AH83" s="166"/>
      <c r="AI83" s="167"/>
      <c r="AJ83" s="168"/>
      <c r="AK83" s="165"/>
      <c r="AL83" s="166"/>
      <c r="AM83" s="167"/>
      <c r="AN83" s="168"/>
      <c r="AO83" s="165"/>
      <c r="AP83" s="166"/>
      <c r="AQ83" s="167"/>
      <c r="AR83" s="168"/>
      <c r="AS83" s="165"/>
      <c r="AT83" s="166"/>
      <c r="AU83" s="167"/>
      <c r="AV83" s="168"/>
      <c r="AW83" s="23"/>
      <c r="AX83" s="23"/>
      <c r="AY83" s="23"/>
    </row>
    <row r="84" spans="1:51" s="44" customFormat="1" ht="22" customHeight="1" x14ac:dyDescent="0.2">
      <c r="A84" s="41">
        <f>'ALS 10 BAZAR'!A84</f>
        <v>0</v>
      </c>
      <c r="B84" s="165">
        <f>'ALS 10 BAZAR'!B84:E84</f>
        <v>0</v>
      </c>
      <c r="C84" s="182"/>
      <c r="D84" s="182"/>
      <c r="E84" s="166"/>
      <c r="F84" s="42">
        <f>'ALS 10 BAZAR'!F84</f>
        <v>6</v>
      </c>
      <c r="G84" s="43">
        <f>'ALS 10 BAZAR'!G84</f>
        <v>0</v>
      </c>
      <c r="H84" s="39">
        <f t="shared" si="0"/>
        <v>0</v>
      </c>
      <c r="I84" s="39"/>
      <c r="J84" s="47"/>
      <c r="K84" s="49"/>
      <c r="L84" s="50"/>
      <c r="M84" s="165"/>
      <c r="N84" s="166"/>
      <c r="O84" s="167"/>
      <c r="P84" s="168"/>
      <c r="Q84" s="165"/>
      <c r="R84" s="166"/>
      <c r="S84" s="167"/>
      <c r="T84" s="168"/>
      <c r="U84" s="165"/>
      <c r="V84" s="166"/>
      <c r="W84" s="167"/>
      <c r="X84" s="168"/>
      <c r="Y84" s="165"/>
      <c r="Z84" s="166"/>
      <c r="AA84" s="167"/>
      <c r="AB84" s="168"/>
      <c r="AC84" s="165"/>
      <c r="AD84" s="166"/>
      <c r="AE84" s="167"/>
      <c r="AF84" s="168"/>
      <c r="AG84" s="165"/>
      <c r="AH84" s="166"/>
      <c r="AI84" s="167"/>
      <c r="AJ84" s="168"/>
      <c r="AK84" s="165"/>
      <c r="AL84" s="166"/>
      <c r="AM84" s="167"/>
      <c r="AN84" s="168"/>
      <c r="AO84" s="165"/>
      <c r="AP84" s="166"/>
      <c r="AQ84" s="167"/>
      <c r="AR84" s="168"/>
      <c r="AS84" s="165"/>
      <c r="AT84" s="166"/>
      <c r="AU84" s="167"/>
      <c r="AV84" s="168"/>
      <c r="AW84" s="23"/>
      <c r="AX84" s="23"/>
      <c r="AY84" s="23"/>
    </row>
    <row r="85" spans="1:51" s="44" customFormat="1" ht="22" customHeight="1" x14ac:dyDescent="0.2">
      <c r="A85" s="41">
        <f>'ALS 10 BAZAR'!A85</f>
        <v>0</v>
      </c>
      <c r="B85" s="165" t="str">
        <f>'ALS 10 BAZAR'!B85:E85</f>
        <v>TORREMOTO</v>
      </c>
      <c r="C85" s="182"/>
      <c r="D85" s="182"/>
      <c r="E85" s="166"/>
      <c r="F85" s="42">
        <f>'ALS 10 BAZAR'!F85</f>
        <v>6</v>
      </c>
      <c r="G85" s="43">
        <f>'ALS 10 BAZAR'!G85</f>
        <v>150</v>
      </c>
      <c r="H85" s="39">
        <f t="shared" si="0"/>
        <v>900</v>
      </c>
      <c r="I85" s="39"/>
      <c r="J85" s="47"/>
      <c r="K85" s="49"/>
      <c r="L85" s="50"/>
      <c r="M85" s="165"/>
      <c r="N85" s="166"/>
      <c r="O85" s="167"/>
      <c r="P85" s="168"/>
      <c r="Q85" s="165"/>
      <c r="R85" s="166"/>
      <c r="S85" s="167"/>
      <c r="T85" s="168"/>
      <c r="U85" s="165"/>
      <c r="V85" s="166"/>
      <c r="W85" s="167"/>
      <c r="X85" s="168"/>
      <c r="Y85" s="165"/>
      <c r="Z85" s="166"/>
      <c r="AA85" s="167"/>
      <c r="AB85" s="168"/>
      <c r="AC85" s="165"/>
      <c r="AD85" s="166"/>
      <c r="AE85" s="167"/>
      <c r="AF85" s="168"/>
      <c r="AG85" s="165"/>
      <c r="AH85" s="166"/>
      <c r="AI85" s="167"/>
      <c r="AJ85" s="168"/>
      <c r="AK85" s="165"/>
      <c r="AL85" s="166"/>
      <c r="AM85" s="167"/>
      <c r="AN85" s="168"/>
      <c r="AO85" s="165"/>
      <c r="AP85" s="166"/>
      <c r="AQ85" s="167"/>
      <c r="AR85" s="168"/>
      <c r="AS85" s="165"/>
      <c r="AT85" s="166"/>
      <c r="AU85" s="167"/>
      <c r="AV85" s="168"/>
      <c r="AW85" s="23"/>
      <c r="AX85" s="23"/>
      <c r="AY85" s="23"/>
    </row>
    <row r="86" spans="1:51" s="44" customFormat="1" ht="22" customHeight="1" x14ac:dyDescent="0.2">
      <c r="A86" s="41">
        <f>'ALS 10 BAZAR'!A86</f>
        <v>1374</v>
      </c>
      <c r="B86" s="165" t="str">
        <f>'ALS 10 BAZAR'!B86:E86</f>
        <v>QUEBRA CABECA ALFABETO INGLES</v>
      </c>
      <c r="C86" s="182"/>
      <c r="D86" s="182"/>
      <c r="E86" s="166"/>
      <c r="F86" s="42">
        <f>'ALS 10 BAZAR'!F86</f>
        <v>6</v>
      </c>
      <c r="G86" s="43">
        <f>'ALS 10 BAZAR'!G86</f>
        <v>35</v>
      </c>
      <c r="H86" s="39">
        <f t="shared" si="0"/>
        <v>210</v>
      </c>
      <c r="I86" s="39"/>
      <c r="J86" s="47"/>
      <c r="K86" s="49"/>
      <c r="L86" s="50"/>
      <c r="M86" s="165"/>
      <c r="N86" s="166"/>
      <c r="O86" s="167"/>
      <c r="P86" s="168"/>
      <c r="Q86" s="165"/>
      <c r="R86" s="166"/>
      <c r="S86" s="167"/>
      <c r="T86" s="168"/>
      <c r="U86" s="165"/>
      <c r="V86" s="166"/>
      <c r="W86" s="167"/>
      <c r="X86" s="168"/>
      <c r="Y86" s="165"/>
      <c r="Z86" s="166"/>
      <c r="AA86" s="167"/>
      <c r="AB86" s="168"/>
      <c r="AC86" s="165"/>
      <c r="AD86" s="166"/>
      <c r="AE86" s="167"/>
      <c r="AF86" s="168"/>
      <c r="AG86" s="165"/>
      <c r="AH86" s="166"/>
      <c r="AI86" s="167"/>
      <c r="AJ86" s="168"/>
      <c r="AK86" s="165"/>
      <c r="AL86" s="166"/>
      <c r="AM86" s="167"/>
      <c r="AN86" s="168"/>
      <c r="AO86" s="165"/>
      <c r="AP86" s="166"/>
      <c r="AQ86" s="167"/>
      <c r="AR86" s="168"/>
      <c r="AS86" s="165"/>
      <c r="AT86" s="166"/>
      <c r="AU86" s="167"/>
      <c r="AV86" s="168"/>
      <c r="AW86" s="23"/>
      <c r="AX86" s="23"/>
      <c r="AY86" s="23"/>
    </row>
    <row r="87" spans="1:51" s="44" customFormat="1" ht="22" customHeight="1" x14ac:dyDescent="0.2">
      <c r="A87" s="41">
        <f>'ALS 10 BAZAR'!A87</f>
        <v>0</v>
      </c>
      <c r="B87" s="165" t="str">
        <f>'ALS 10 BAZAR'!B87:E87</f>
        <v>JOGO DA MEMORIA INGLES</v>
      </c>
      <c r="C87" s="182"/>
      <c r="D87" s="182"/>
      <c r="E87" s="166"/>
      <c r="F87" s="42">
        <f>'ALS 10 BAZAR'!F87</f>
        <v>6</v>
      </c>
      <c r="G87" s="43">
        <f>'ALS 10 BAZAR'!G87</f>
        <v>0</v>
      </c>
      <c r="H87" s="39">
        <f t="shared" si="0"/>
        <v>0</v>
      </c>
      <c r="I87" s="39"/>
      <c r="J87" s="47"/>
      <c r="K87" s="49"/>
      <c r="L87" s="50"/>
      <c r="M87" s="165"/>
      <c r="N87" s="166"/>
      <c r="O87" s="167"/>
      <c r="P87" s="168"/>
      <c r="Q87" s="165"/>
      <c r="R87" s="166"/>
      <c r="S87" s="167"/>
      <c r="T87" s="168"/>
      <c r="U87" s="165"/>
      <c r="V87" s="166"/>
      <c r="W87" s="167"/>
      <c r="X87" s="168"/>
      <c r="Y87" s="165"/>
      <c r="Z87" s="166"/>
      <c r="AA87" s="167"/>
      <c r="AB87" s="168"/>
      <c r="AC87" s="165"/>
      <c r="AD87" s="166"/>
      <c r="AE87" s="167"/>
      <c r="AF87" s="168"/>
      <c r="AG87" s="165"/>
      <c r="AH87" s="166"/>
      <c r="AI87" s="167"/>
      <c r="AJ87" s="168"/>
      <c r="AK87" s="165"/>
      <c r="AL87" s="166"/>
      <c r="AM87" s="167"/>
      <c r="AN87" s="168"/>
      <c r="AO87" s="165"/>
      <c r="AP87" s="166"/>
      <c r="AQ87" s="167"/>
      <c r="AR87" s="168"/>
      <c r="AS87" s="165"/>
      <c r="AT87" s="166"/>
      <c r="AU87" s="167"/>
      <c r="AV87" s="168"/>
      <c r="AW87" s="23"/>
      <c r="AX87" s="23"/>
      <c r="AY87" s="23"/>
    </row>
    <row r="88" spans="1:51" s="44" customFormat="1" ht="22" customHeight="1" x14ac:dyDescent="0.2">
      <c r="A88" s="41">
        <f>'ALS 10 BAZAR'!A88</f>
        <v>2017</v>
      </c>
      <c r="B88" s="165" t="str">
        <f>'ALS 10 BAZAR'!B88:E88</f>
        <v>JOGO DA MEMORIA ANIMAIS</v>
      </c>
      <c r="C88" s="182"/>
      <c r="D88" s="182"/>
      <c r="E88" s="166"/>
      <c r="F88" s="42">
        <f>'ALS 10 BAZAR'!F88</f>
        <v>6</v>
      </c>
      <c r="G88" s="43">
        <f>'ALS 10 BAZAR'!G88</f>
        <v>60</v>
      </c>
      <c r="H88" s="39">
        <f t="shared" si="0"/>
        <v>360</v>
      </c>
      <c r="I88" s="39"/>
      <c r="J88" s="47"/>
      <c r="K88" s="49"/>
      <c r="L88" s="50"/>
      <c r="M88" s="165"/>
      <c r="N88" s="166"/>
      <c r="O88" s="167"/>
      <c r="P88" s="168"/>
      <c r="Q88" s="165"/>
      <c r="R88" s="166"/>
      <c r="S88" s="167"/>
      <c r="T88" s="168"/>
      <c r="U88" s="165"/>
      <c r="V88" s="166"/>
      <c r="W88" s="167"/>
      <c r="X88" s="168"/>
      <c r="Y88" s="165"/>
      <c r="Z88" s="166"/>
      <c r="AA88" s="167"/>
      <c r="AB88" s="168"/>
      <c r="AC88" s="165"/>
      <c r="AD88" s="166"/>
      <c r="AE88" s="167"/>
      <c r="AF88" s="168"/>
      <c r="AG88" s="165"/>
      <c r="AH88" s="166"/>
      <c r="AI88" s="167"/>
      <c r="AJ88" s="168"/>
      <c r="AK88" s="165"/>
      <c r="AL88" s="166"/>
      <c r="AM88" s="167"/>
      <c r="AN88" s="168"/>
      <c r="AO88" s="165"/>
      <c r="AP88" s="166"/>
      <c r="AQ88" s="167"/>
      <c r="AR88" s="168"/>
      <c r="AS88" s="165"/>
      <c r="AT88" s="166"/>
      <c r="AU88" s="167"/>
      <c r="AV88" s="168"/>
      <c r="AW88" s="23"/>
      <c r="AX88" s="23"/>
      <c r="AY88" s="23"/>
    </row>
    <row r="89" spans="1:51" s="44" customFormat="1" ht="22" customHeight="1" x14ac:dyDescent="0.2">
      <c r="A89" s="41">
        <f>'ALS 10 BAZAR'!A89</f>
        <v>2016</v>
      </c>
      <c r="B89" s="165" t="str">
        <f>'ALS 10 BAZAR'!B89:E89</f>
        <v>JOGO DA MEMORIA FAZENDA</v>
      </c>
      <c r="C89" s="182"/>
      <c r="D89" s="182"/>
      <c r="E89" s="166"/>
      <c r="F89" s="42">
        <f>'ALS 10 BAZAR'!F89</f>
        <v>6</v>
      </c>
      <c r="G89" s="43">
        <f>'ALS 10 BAZAR'!G89</f>
        <v>0</v>
      </c>
      <c r="H89" s="39">
        <f t="shared" si="0"/>
        <v>0</v>
      </c>
      <c r="I89" s="39"/>
      <c r="J89" s="47"/>
      <c r="K89" s="49"/>
      <c r="L89" s="50"/>
      <c r="M89" s="165"/>
      <c r="N89" s="166"/>
      <c r="O89" s="167"/>
      <c r="P89" s="168"/>
      <c r="Q89" s="165"/>
      <c r="R89" s="166"/>
      <c r="S89" s="167"/>
      <c r="T89" s="168"/>
      <c r="U89" s="165"/>
      <c r="V89" s="166"/>
      <c r="W89" s="167"/>
      <c r="X89" s="168"/>
      <c r="Y89" s="165"/>
      <c r="Z89" s="166"/>
      <c r="AA89" s="167"/>
      <c r="AB89" s="168"/>
      <c r="AC89" s="165"/>
      <c r="AD89" s="166"/>
      <c r="AE89" s="167"/>
      <c r="AF89" s="168"/>
      <c r="AG89" s="165"/>
      <c r="AH89" s="166"/>
      <c r="AI89" s="167"/>
      <c r="AJ89" s="168"/>
      <c r="AK89" s="165"/>
      <c r="AL89" s="166"/>
      <c r="AM89" s="167"/>
      <c r="AN89" s="168"/>
      <c r="AO89" s="165"/>
      <c r="AP89" s="166"/>
      <c r="AQ89" s="167"/>
      <c r="AR89" s="168"/>
      <c r="AS89" s="165"/>
      <c r="AT89" s="166"/>
      <c r="AU89" s="167"/>
      <c r="AV89" s="168"/>
      <c r="AW89" s="23"/>
      <c r="AX89" s="23"/>
      <c r="AY89" s="23"/>
    </row>
    <row r="90" spans="1:51" s="44" customFormat="1" ht="22" customHeight="1" x14ac:dyDescent="0.2">
      <c r="A90" s="41">
        <f>'ALS 10 BAZAR'!A90</f>
        <v>2021</v>
      </c>
      <c r="B90" s="165" t="str">
        <f>'ALS 10 BAZAR'!B90:E90</f>
        <v>JOGO DA MEMORIA BRANCA DE NEVE</v>
      </c>
      <c r="C90" s="182"/>
      <c r="D90" s="182"/>
      <c r="E90" s="166"/>
      <c r="F90" s="42">
        <f>'ALS 10 BAZAR'!F90</f>
        <v>6</v>
      </c>
      <c r="G90" s="43">
        <f>'ALS 10 BAZAR'!G90</f>
        <v>35</v>
      </c>
      <c r="H90" s="39">
        <f t="shared" si="0"/>
        <v>210</v>
      </c>
      <c r="I90" s="39"/>
      <c r="J90" s="47"/>
      <c r="K90" s="49"/>
      <c r="L90" s="50"/>
      <c r="M90" s="165"/>
      <c r="N90" s="166"/>
      <c r="O90" s="167"/>
      <c r="P90" s="168"/>
      <c r="Q90" s="165"/>
      <c r="R90" s="166"/>
      <c r="S90" s="167"/>
      <c r="T90" s="168"/>
      <c r="U90" s="165"/>
      <c r="V90" s="166"/>
      <c r="W90" s="167"/>
      <c r="X90" s="168"/>
      <c r="Y90" s="165"/>
      <c r="Z90" s="166"/>
      <c r="AA90" s="167"/>
      <c r="AB90" s="168"/>
      <c r="AC90" s="165"/>
      <c r="AD90" s="166"/>
      <c r="AE90" s="167"/>
      <c r="AF90" s="168"/>
      <c r="AG90" s="165"/>
      <c r="AH90" s="166"/>
      <c r="AI90" s="167"/>
      <c r="AJ90" s="168"/>
      <c r="AK90" s="165"/>
      <c r="AL90" s="166"/>
      <c r="AM90" s="167"/>
      <c r="AN90" s="168"/>
      <c r="AO90" s="165"/>
      <c r="AP90" s="166"/>
      <c r="AQ90" s="167"/>
      <c r="AR90" s="168"/>
      <c r="AS90" s="165"/>
      <c r="AT90" s="166"/>
      <c r="AU90" s="167"/>
      <c r="AV90" s="168"/>
      <c r="AW90" s="23"/>
      <c r="AX90" s="23"/>
      <c r="AY90" s="23"/>
    </row>
    <row r="91" spans="1:51" s="44" customFormat="1" ht="22" customHeight="1" x14ac:dyDescent="0.2">
      <c r="A91" s="41">
        <f>'ALS 10 BAZAR'!A91</f>
        <v>2020</v>
      </c>
      <c r="B91" s="165" t="str">
        <f>'ALS 10 BAZAR'!B91:E91</f>
        <v>JOGO DA MEMORIA CINDERELA</v>
      </c>
      <c r="C91" s="182"/>
      <c r="D91" s="182"/>
      <c r="E91" s="166"/>
      <c r="F91" s="42">
        <f>'ALS 10 BAZAR'!F91</f>
        <v>6</v>
      </c>
      <c r="G91" s="43">
        <f>'ALS 10 BAZAR'!G91</f>
        <v>35</v>
      </c>
      <c r="H91" s="39">
        <f t="shared" si="0"/>
        <v>210</v>
      </c>
      <c r="I91" s="39"/>
      <c r="J91" s="47"/>
      <c r="K91" s="56"/>
      <c r="L91" s="57"/>
      <c r="M91" s="169"/>
      <c r="N91" s="170"/>
      <c r="O91" s="167"/>
      <c r="P91" s="168"/>
      <c r="Q91" s="165"/>
      <c r="R91" s="166"/>
      <c r="S91" s="167"/>
      <c r="T91" s="168"/>
      <c r="U91" s="165"/>
      <c r="V91" s="166"/>
      <c r="W91" s="167"/>
      <c r="X91" s="168"/>
      <c r="Y91" s="165"/>
      <c r="Z91" s="166"/>
      <c r="AA91" s="167"/>
      <c r="AB91" s="168"/>
      <c r="AC91" s="165"/>
      <c r="AD91" s="166"/>
      <c r="AE91" s="167"/>
      <c r="AF91" s="168"/>
      <c r="AG91" s="165"/>
      <c r="AH91" s="166"/>
      <c r="AI91" s="167"/>
      <c r="AJ91" s="168"/>
      <c r="AK91" s="165"/>
      <c r="AL91" s="166"/>
      <c r="AM91" s="167"/>
      <c r="AN91" s="168"/>
      <c r="AO91" s="165"/>
      <c r="AP91" s="166"/>
      <c r="AQ91" s="167"/>
      <c r="AR91" s="168"/>
      <c r="AS91" s="165"/>
      <c r="AT91" s="166"/>
      <c r="AU91" s="167"/>
      <c r="AV91" s="168"/>
      <c r="AW91" s="23"/>
      <c r="AX91" s="23"/>
      <c r="AY91" s="23"/>
    </row>
    <row r="92" spans="1:51" s="44" customFormat="1" ht="22" customHeight="1" x14ac:dyDescent="0.2">
      <c r="A92" s="41">
        <f>'ALS 10 BAZAR'!A92</f>
        <v>2019</v>
      </c>
      <c r="B92" s="165" t="str">
        <f>'ALS 10 BAZAR'!B92:E92</f>
        <v>JOGO DA MEMORIA VEICULOS</v>
      </c>
      <c r="C92" s="182"/>
      <c r="D92" s="182"/>
      <c r="E92" s="166"/>
      <c r="F92" s="42">
        <f>'ALS 10 BAZAR'!F92</f>
        <v>6</v>
      </c>
      <c r="G92" s="43">
        <f>'ALS 10 BAZAR'!G92</f>
        <v>35</v>
      </c>
      <c r="H92" s="39">
        <f t="shared" si="0"/>
        <v>210</v>
      </c>
      <c r="I92" s="39"/>
      <c r="J92" s="47"/>
      <c r="K92" s="56"/>
      <c r="L92" s="57"/>
      <c r="M92" s="169"/>
      <c r="N92" s="170"/>
      <c r="O92" s="167"/>
      <c r="P92" s="168"/>
      <c r="Q92" s="165"/>
      <c r="R92" s="166"/>
      <c r="S92" s="167"/>
      <c r="T92" s="168"/>
      <c r="U92" s="165"/>
      <c r="V92" s="166"/>
      <c r="W92" s="167"/>
      <c r="X92" s="168"/>
      <c r="Y92" s="165"/>
      <c r="Z92" s="166"/>
      <c r="AA92" s="167"/>
      <c r="AB92" s="168"/>
      <c r="AC92" s="165"/>
      <c r="AD92" s="166"/>
      <c r="AE92" s="167"/>
      <c r="AF92" s="168"/>
      <c r="AG92" s="165"/>
      <c r="AH92" s="166"/>
      <c r="AI92" s="167"/>
      <c r="AJ92" s="168"/>
      <c r="AK92" s="165"/>
      <c r="AL92" s="166"/>
      <c r="AM92" s="167"/>
      <c r="AN92" s="168"/>
      <c r="AO92" s="165"/>
      <c r="AP92" s="166"/>
      <c r="AQ92" s="167"/>
      <c r="AR92" s="168"/>
      <c r="AS92" s="165"/>
      <c r="AT92" s="166"/>
      <c r="AU92" s="167"/>
      <c r="AV92" s="168"/>
      <c r="AW92" s="23"/>
      <c r="AX92" s="23"/>
      <c r="AY92" s="23"/>
    </row>
    <row r="93" spans="1:51" s="44" customFormat="1" ht="22" customHeight="1" x14ac:dyDescent="0.2">
      <c r="A93" s="41">
        <f>'ALS 10 BAZAR'!A93</f>
        <v>2008</v>
      </c>
      <c r="B93" s="165" t="str">
        <f>'ALS 10 BAZAR'!B93:E93</f>
        <v>QUEBRA CABECA CHAPEUZINHO</v>
      </c>
      <c r="C93" s="182"/>
      <c r="D93" s="182"/>
      <c r="E93" s="166"/>
      <c r="F93" s="42">
        <f>'ALS 10 BAZAR'!F93</f>
        <v>6</v>
      </c>
      <c r="G93" s="43">
        <f>'ALS 10 BAZAR'!G93</f>
        <v>35</v>
      </c>
      <c r="H93" s="39">
        <f t="shared" si="0"/>
        <v>210</v>
      </c>
      <c r="I93" s="39"/>
      <c r="J93" s="47"/>
      <c r="K93" s="56"/>
      <c r="L93" s="57"/>
      <c r="M93" s="169"/>
      <c r="N93" s="170"/>
      <c r="O93" s="167"/>
      <c r="P93" s="168"/>
      <c r="Q93" s="165"/>
      <c r="R93" s="166"/>
      <c r="S93" s="167"/>
      <c r="T93" s="168"/>
      <c r="U93" s="165"/>
      <c r="V93" s="166"/>
      <c r="W93" s="167"/>
      <c r="X93" s="168"/>
      <c r="Y93" s="165"/>
      <c r="Z93" s="166"/>
      <c r="AA93" s="167"/>
      <c r="AB93" s="168"/>
      <c r="AC93" s="165"/>
      <c r="AD93" s="166"/>
      <c r="AE93" s="167"/>
      <c r="AF93" s="168"/>
      <c r="AG93" s="165"/>
      <c r="AH93" s="166"/>
      <c r="AI93" s="167"/>
      <c r="AJ93" s="168"/>
      <c r="AK93" s="165"/>
      <c r="AL93" s="166"/>
      <c r="AM93" s="167"/>
      <c r="AN93" s="168"/>
      <c r="AO93" s="165"/>
      <c r="AP93" s="166"/>
      <c r="AQ93" s="167"/>
      <c r="AR93" s="168"/>
      <c r="AS93" s="165"/>
      <c r="AT93" s="166"/>
      <c r="AU93" s="167"/>
      <c r="AV93" s="168"/>
      <c r="AW93" s="23"/>
      <c r="AX93" s="23"/>
      <c r="AY93" s="23"/>
    </row>
    <row r="94" spans="1:51" s="44" customFormat="1" ht="22" customHeight="1" x14ac:dyDescent="0.2">
      <c r="A94" s="41">
        <f>'ALS 10 BAZAR'!A94</f>
        <v>2006</v>
      </c>
      <c r="B94" s="165" t="str">
        <f>'ALS 10 BAZAR'!B94:E94</f>
        <v>QUEBRA CABECA DINO</v>
      </c>
      <c r="C94" s="182"/>
      <c r="D94" s="182"/>
      <c r="E94" s="166"/>
      <c r="F94" s="42">
        <f>'ALS 10 BAZAR'!F94</f>
        <v>6</v>
      </c>
      <c r="G94" s="43">
        <f>'ALS 10 BAZAR'!G94</f>
        <v>25</v>
      </c>
      <c r="H94" s="39">
        <f t="shared" si="0"/>
        <v>150</v>
      </c>
      <c r="I94" s="39"/>
      <c r="J94" s="47"/>
      <c r="K94" s="56"/>
      <c r="L94" s="57"/>
      <c r="M94" s="169"/>
      <c r="N94" s="170"/>
      <c r="O94" s="167"/>
      <c r="P94" s="168"/>
      <c r="Q94" s="165"/>
      <c r="R94" s="166"/>
      <c r="S94" s="167"/>
      <c r="T94" s="168"/>
      <c r="U94" s="165"/>
      <c r="V94" s="166"/>
      <c r="W94" s="167"/>
      <c r="X94" s="168"/>
      <c r="Y94" s="165"/>
      <c r="Z94" s="166"/>
      <c r="AA94" s="167"/>
      <c r="AB94" s="168"/>
      <c r="AC94" s="165"/>
      <c r="AD94" s="166"/>
      <c r="AE94" s="167"/>
      <c r="AF94" s="168"/>
      <c r="AG94" s="165"/>
      <c r="AH94" s="166"/>
      <c r="AI94" s="167"/>
      <c r="AJ94" s="168"/>
      <c r="AK94" s="165"/>
      <c r="AL94" s="166"/>
      <c r="AM94" s="167"/>
      <c r="AN94" s="168"/>
      <c r="AO94" s="165"/>
      <c r="AP94" s="166"/>
      <c r="AQ94" s="167"/>
      <c r="AR94" s="168"/>
      <c r="AS94" s="165"/>
      <c r="AT94" s="166"/>
      <c r="AU94" s="167"/>
      <c r="AV94" s="168"/>
      <c r="AW94" s="23"/>
      <c r="AX94" s="23"/>
      <c r="AY94" s="23"/>
    </row>
    <row r="95" spans="1:51" s="44" customFormat="1" ht="22" customHeight="1" x14ac:dyDescent="0.2">
      <c r="A95" s="41">
        <f>'ALS 10 BAZAR'!A95</f>
        <v>2012</v>
      </c>
      <c r="B95" s="165" t="str">
        <f>'ALS 10 BAZAR'!B95:E95</f>
        <v>QUEBRA CABECA CINDERELA</v>
      </c>
      <c r="C95" s="182"/>
      <c r="D95" s="182"/>
      <c r="E95" s="166"/>
      <c r="F95" s="42">
        <f>'ALS 10 BAZAR'!F95</f>
        <v>6</v>
      </c>
      <c r="G95" s="43">
        <f>'ALS 10 BAZAR'!G95</f>
        <v>35</v>
      </c>
      <c r="H95" s="39">
        <f t="shared" si="0"/>
        <v>210</v>
      </c>
      <c r="I95" s="39"/>
      <c r="J95" s="47"/>
      <c r="K95" s="56"/>
      <c r="L95" s="57"/>
      <c r="M95" s="169"/>
      <c r="N95" s="170"/>
      <c r="O95" s="167"/>
      <c r="P95" s="168"/>
      <c r="Q95" s="165"/>
      <c r="R95" s="166"/>
      <c r="S95" s="167"/>
      <c r="T95" s="168"/>
      <c r="U95" s="165"/>
      <c r="V95" s="166"/>
      <c r="W95" s="167"/>
      <c r="X95" s="168"/>
      <c r="Y95" s="165"/>
      <c r="Z95" s="166"/>
      <c r="AA95" s="167"/>
      <c r="AB95" s="168"/>
      <c r="AC95" s="165"/>
      <c r="AD95" s="166"/>
      <c r="AE95" s="167"/>
      <c r="AF95" s="168"/>
      <c r="AG95" s="165"/>
      <c r="AH95" s="166"/>
      <c r="AI95" s="167"/>
      <c r="AJ95" s="168"/>
      <c r="AK95" s="165"/>
      <c r="AL95" s="166"/>
      <c r="AM95" s="167"/>
      <c r="AN95" s="168"/>
      <c r="AO95" s="165"/>
      <c r="AP95" s="166"/>
      <c r="AQ95" s="167"/>
      <c r="AR95" s="168"/>
      <c r="AS95" s="165"/>
      <c r="AT95" s="166"/>
      <c r="AU95" s="167"/>
      <c r="AV95" s="168"/>
      <c r="AW95" s="23"/>
      <c r="AX95" s="23"/>
      <c r="AY95" s="23"/>
    </row>
    <row r="96" spans="1:51" s="44" customFormat="1" ht="22" customHeight="1" x14ac:dyDescent="0.2">
      <c r="A96" s="41">
        <f>'ALS 10 BAZAR'!A96</f>
        <v>2004</v>
      </c>
      <c r="B96" s="165" t="str">
        <f>'ALS 10 BAZAR'!B96:E96</f>
        <v>QUEBRA CABECA PINOQUIO</v>
      </c>
      <c r="C96" s="182"/>
      <c r="D96" s="182"/>
      <c r="E96" s="166"/>
      <c r="F96" s="42">
        <f>'ALS 10 BAZAR'!F96</f>
        <v>6</v>
      </c>
      <c r="G96" s="43">
        <f>'ALS 10 BAZAR'!G96</f>
        <v>25</v>
      </c>
      <c r="H96" s="39">
        <f t="shared" si="0"/>
        <v>150</v>
      </c>
      <c r="I96" s="39"/>
      <c r="J96" s="47"/>
      <c r="K96" s="56"/>
      <c r="L96" s="57"/>
      <c r="M96" s="169"/>
      <c r="N96" s="170"/>
      <c r="O96" s="167"/>
      <c r="P96" s="168"/>
      <c r="Q96" s="165"/>
      <c r="R96" s="166"/>
      <c r="S96" s="167"/>
      <c r="T96" s="168"/>
      <c r="U96" s="165"/>
      <c r="V96" s="166"/>
      <c r="W96" s="167"/>
      <c r="X96" s="168"/>
      <c r="Y96" s="165"/>
      <c r="Z96" s="166"/>
      <c r="AA96" s="167"/>
      <c r="AB96" s="168"/>
      <c r="AC96" s="165"/>
      <c r="AD96" s="166"/>
      <c r="AE96" s="167"/>
      <c r="AF96" s="168"/>
      <c r="AG96" s="165"/>
      <c r="AH96" s="166"/>
      <c r="AI96" s="167"/>
      <c r="AJ96" s="168"/>
      <c r="AK96" s="165"/>
      <c r="AL96" s="166"/>
      <c r="AM96" s="167"/>
      <c r="AN96" s="168"/>
      <c r="AO96" s="165"/>
      <c r="AP96" s="166"/>
      <c r="AQ96" s="167"/>
      <c r="AR96" s="168"/>
      <c r="AS96" s="165"/>
      <c r="AT96" s="166"/>
      <c r="AU96" s="167"/>
      <c r="AV96" s="168"/>
      <c r="AW96" s="23"/>
      <c r="AX96" s="23"/>
      <c r="AY96" s="23"/>
    </row>
    <row r="97" spans="1:51" s="44" customFormat="1" ht="22" customHeight="1" x14ac:dyDescent="0.2">
      <c r="A97" s="41">
        <f>'ALS 10 BAZAR'!A97</f>
        <v>2003</v>
      </c>
      <c r="B97" s="165" t="str">
        <f>'ALS 10 BAZAR'!B97:E97</f>
        <v>QUEBRA CABECA CASTELO DA PRINCESA</v>
      </c>
      <c r="C97" s="182"/>
      <c r="D97" s="182"/>
      <c r="E97" s="166"/>
      <c r="F97" s="42">
        <f>'ALS 10 BAZAR'!F97</f>
        <v>6</v>
      </c>
      <c r="G97" s="43">
        <f>'ALS 10 BAZAR'!G97</f>
        <v>0</v>
      </c>
      <c r="H97" s="39">
        <f t="shared" si="0"/>
        <v>0</v>
      </c>
      <c r="I97" s="39"/>
      <c r="J97" s="47"/>
      <c r="K97" s="56"/>
      <c r="L97" s="57"/>
      <c r="M97" s="169"/>
      <c r="N97" s="170"/>
      <c r="O97" s="167"/>
      <c r="P97" s="168"/>
      <c r="Q97" s="165"/>
      <c r="R97" s="166"/>
      <c r="S97" s="167"/>
      <c r="T97" s="168"/>
      <c r="U97" s="165"/>
      <c r="V97" s="166"/>
      <c r="W97" s="167"/>
      <c r="X97" s="168"/>
      <c r="Y97" s="165"/>
      <c r="Z97" s="166"/>
      <c r="AA97" s="167"/>
      <c r="AB97" s="168"/>
      <c r="AC97" s="165"/>
      <c r="AD97" s="166"/>
      <c r="AE97" s="167"/>
      <c r="AF97" s="168"/>
      <c r="AG97" s="165"/>
      <c r="AH97" s="166"/>
      <c r="AI97" s="167"/>
      <c r="AJ97" s="168"/>
      <c r="AK97" s="165"/>
      <c r="AL97" s="166"/>
      <c r="AM97" s="167"/>
      <c r="AN97" s="168"/>
      <c r="AO97" s="165"/>
      <c r="AP97" s="166"/>
      <c r="AQ97" s="167"/>
      <c r="AR97" s="168"/>
      <c r="AS97" s="165"/>
      <c r="AT97" s="166"/>
      <c r="AU97" s="167"/>
      <c r="AV97" s="168"/>
      <c r="AW97" s="23"/>
      <c r="AX97" s="23"/>
      <c r="AY97" s="23"/>
    </row>
    <row r="98" spans="1:51" s="44" customFormat="1" ht="22" customHeight="1" x14ac:dyDescent="0.2">
      <c r="A98" s="41">
        <f>'ALS 10 BAZAR'!A98</f>
        <v>2015</v>
      </c>
      <c r="B98" s="165" t="str">
        <f>'ALS 10 BAZAR'!B98:E98</f>
        <v>QUEBRA CABECA ALFABETO ANIMAIS</v>
      </c>
      <c r="C98" s="182"/>
      <c r="D98" s="182"/>
      <c r="E98" s="166"/>
      <c r="F98" s="42">
        <f>'ALS 10 BAZAR'!F98</f>
        <v>6</v>
      </c>
      <c r="G98" s="43">
        <f>'ALS 10 BAZAR'!G98</f>
        <v>35</v>
      </c>
      <c r="H98" s="39">
        <f t="shared" si="0"/>
        <v>210</v>
      </c>
      <c r="I98" s="39"/>
      <c r="J98" s="47"/>
      <c r="K98" s="56"/>
      <c r="L98" s="57"/>
      <c r="M98" s="169"/>
      <c r="N98" s="170"/>
      <c r="O98" s="167"/>
      <c r="P98" s="168"/>
      <c r="Q98" s="165"/>
      <c r="R98" s="166"/>
      <c r="S98" s="167"/>
      <c r="T98" s="168"/>
      <c r="U98" s="165"/>
      <c r="V98" s="166"/>
      <c r="W98" s="167"/>
      <c r="X98" s="168"/>
      <c r="Y98" s="165"/>
      <c r="Z98" s="166"/>
      <c r="AA98" s="167"/>
      <c r="AB98" s="168"/>
      <c r="AC98" s="165"/>
      <c r="AD98" s="166"/>
      <c r="AE98" s="167"/>
      <c r="AF98" s="168"/>
      <c r="AG98" s="165"/>
      <c r="AH98" s="166"/>
      <c r="AI98" s="167"/>
      <c r="AJ98" s="168"/>
      <c r="AK98" s="165"/>
      <c r="AL98" s="166"/>
      <c r="AM98" s="167"/>
      <c r="AN98" s="168"/>
      <c r="AO98" s="165"/>
      <c r="AP98" s="166"/>
      <c r="AQ98" s="167"/>
      <c r="AR98" s="168"/>
      <c r="AS98" s="165"/>
      <c r="AT98" s="166"/>
      <c r="AU98" s="167"/>
      <c r="AV98" s="168"/>
      <c r="AW98" s="23"/>
      <c r="AX98" s="23"/>
      <c r="AY98" s="23"/>
    </row>
    <row r="99" spans="1:51" s="44" customFormat="1" ht="22" customHeight="1" x14ac:dyDescent="0.2">
      <c r="A99" s="41">
        <f>'ALS 10 BAZAR'!A99</f>
        <v>2009</v>
      </c>
      <c r="B99" s="165" t="str">
        <f>'ALS 10 BAZAR'!B99:E99</f>
        <v>QUEBRA CABECA TRENZINHO</v>
      </c>
      <c r="C99" s="182"/>
      <c r="D99" s="182"/>
      <c r="E99" s="166"/>
      <c r="F99" s="42">
        <f>'ALS 10 BAZAR'!F99</f>
        <v>6</v>
      </c>
      <c r="G99" s="43">
        <f>'ALS 10 BAZAR'!G99</f>
        <v>25</v>
      </c>
      <c r="H99" s="39">
        <f t="shared" si="0"/>
        <v>150</v>
      </c>
      <c r="I99" s="39"/>
      <c r="J99" s="47"/>
      <c r="K99" s="56"/>
      <c r="L99" s="57"/>
      <c r="M99" s="169"/>
      <c r="N99" s="170"/>
      <c r="O99" s="167"/>
      <c r="P99" s="168"/>
      <c r="Q99" s="165"/>
      <c r="R99" s="166"/>
      <c r="S99" s="167"/>
      <c r="T99" s="168"/>
      <c r="U99" s="165"/>
      <c r="V99" s="166"/>
      <c r="W99" s="167"/>
      <c r="X99" s="168"/>
      <c r="Y99" s="165"/>
      <c r="Z99" s="166"/>
      <c r="AA99" s="167"/>
      <c r="AB99" s="168"/>
      <c r="AC99" s="165"/>
      <c r="AD99" s="166"/>
      <c r="AE99" s="167"/>
      <c r="AF99" s="168"/>
      <c r="AG99" s="165"/>
      <c r="AH99" s="166"/>
      <c r="AI99" s="167"/>
      <c r="AJ99" s="168"/>
      <c r="AK99" s="165"/>
      <c r="AL99" s="166"/>
      <c r="AM99" s="167"/>
      <c r="AN99" s="168"/>
      <c r="AO99" s="165"/>
      <c r="AP99" s="166"/>
      <c r="AQ99" s="167"/>
      <c r="AR99" s="168"/>
      <c r="AS99" s="165"/>
      <c r="AT99" s="166"/>
      <c r="AU99" s="167"/>
      <c r="AV99" s="168"/>
      <c r="AW99" s="23"/>
      <c r="AX99" s="23"/>
      <c r="AY99" s="23"/>
    </row>
    <row r="100" spans="1:51" s="44" customFormat="1" ht="22" customHeight="1" x14ac:dyDescent="0.2">
      <c r="A100" s="41">
        <f>'ALS 10 BAZAR'!A100</f>
        <v>2013</v>
      </c>
      <c r="B100" s="165" t="str">
        <f>'ALS 10 BAZAR'!B100:E100</f>
        <v>QUEBRA CABECA BRANCA DE NEVE</v>
      </c>
      <c r="C100" s="182"/>
      <c r="D100" s="182"/>
      <c r="E100" s="166"/>
      <c r="F100" s="42">
        <f>'ALS 10 BAZAR'!F100</f>
        <v>6</v>
      </c>
      <c r="G100" s="43">
        <f>'ALS 10 BAZAR'!G100</f>
        <v>25</v>
      </c>
      <c r="H100" s="39">
        <f t="shared" si="0"/>
        <v>150</v>
      </c>
      <c r="I100" s="39"/>
      <c r="J100" s="47"/>
      <c r="K100" s="56"/>
      <c r="L100" s="57"/>
      <c r="M100" s="169"/>
      <c r="N100" s="170"/>
      <c r="O100" s="167"/>
      <c r="P100" s="168"/>
      <c r="Q100" s="165"/>
      <c r="R100" s="166"/>
      <c r="S100" s="167"/>
      <c r="T100" s="168"/>
      <c r="U100" s="165"/>
      <c r="V100" s="166"/>
      <c r="W100" s="167"/>
      <c r="X100" s="168"/>
      <c r="Y100" s="165"/>
      <c r="Z100" s="166"/>
      <c r="AA100" s="167"/>
      <c r="AB100" s="168"/>
      <c r="AC100" s="165"/>
      <c r="AD100" s="166"/>
      <c r="AE100" s="167"/>
      <c r="AF100" s="168"/>
      <c r="AG100" s="165"/>
      <c r="AH100" s="166"/>
      <c r="AI100" s="167"/>
      <c r="AJ100" s="168"/>
      <c r="AK100" s="165"/>
      <c r="AL100" s="166"/>
      <c r="AM100" s="167"/>
      <c r="AN100" s="168"/>
      <c r="AO100" s="165"/>
      <c r="AP100" s="166"/>
      <c r="AQ100" s="167"/>
      <c r="AR100" s="168"/>
      <c r="AS100" s="165"/>
      <c r="AT100" s="166"/>
      <c r="AU100" s="167"/>
      <c r="AV100" s="168"/>
      <c r="AW100" s="23"/>
      <c r="AX100" s="23"/>
      <c r="AY100" s="23"/>
    </row>
    <row r="101" spans="1:51" s="44" customFormat="1" ht="22" customHeight="1" x14ac:dyDescent="0.2">
      <c r="A101" s="41">
        <f>'ALS 10 BAZAR'!A101</f>
        <v>2014</v>
      </c>
      <c r="B101" s="165" t="str">
        <f>'ALS 10 BAZAR'!B101:E101</f>
        <v>QUEBRA CABECA OS 3 PORQUINHOS</v>
      </c>
      <c r="C101" s="182"/>
      <c r="D101" s="182"/>
      <c r="E101" s="166"/>
      <c r="F101" s="42">
        <f>'ALS 10 BAZAR'!F101</f>
        <v>6</v>
      </c>
      <c r="G101" s="43">
        <f>'ALS 10 BAZAR'!G101</f>
        <v>20</v>
      </c>
      <c r="H101" s="39">
        <f t="shared" si="0"/>
        <v>120</v>
      </c>
      <c r="I101" s="39"/>
      <c r="J101" s="47"/>
      <c r="K101" s="56"/>
      <c r="L101" s="57"/>
      <c r="M101" s="169"/>
      <c r="N101" s="170"/>
      <c r="O101" s="167"/>
      <c r="P101" s="168"/>
      <c r="Q101" s="165"/>
      <c r="R101" s="166"/>
      <c r="S101" s="167"/>
      <c r="T101" s="168"/>
      <c r="U101" s="165"/>
      <c r="V101" s="166"/>
      <c r="W101" s="167"/>
      <c r="X101" s="168"/>
      <c r="Y101" s="165"/>
      <c r="Z101" s="166"/>
      <c r="AA101" s="167"/>
      <c r="AB101" s="168"/>
      <c r="AC101" s="165"/>
      <c r="AD101" s="166"/>
      <c r="AE101" s="167"/>
      <c r="AF101" s="168"/>
      <c r="AG101" s="165"/>
      <c r="AH101" s="166"/>
      <c r="AI101" s="167"/>
      <c r="AJ101" s="168"/>
      <c r="AK101" s="165"/>
      <c r="AL101" s="166"/>
      <c r="AM101" s="167"/>
      <c r="AN101" s="168"/>
      <c r="AO101" s="165"/>
      <c r="AP101" s="166"/>
      <c r="AQ101" s="167"/>
      <c r="AR101" s="168"/>
      <c r="AS101" s="165"/>
      <c r="AT101" s="166"/>
      <c r="AU101" s="167"/>
      <c r="AV101" s="168"/>
      <c r="AW101" s="23"/>
      <c r="AX101" s="23"/>
      <c r="AY101" s="23"/>
    </row>
    <row r="102" spans="1:51" s="44" customFormat="1" ht="22" customHeight="1" x14ac:dyDescent="0.2">
      <c r="A102" s="41">
        <f>'ALS 10 BAZAR'!A102</f>
        <v>2007</v>
      </c>
      <c r="B102" s="165" t="str">
        <f>'ALS 10 BAZAR'!B102:E102</f>
        <v>QUEBRA CABECA UNICORNIO</v>
      </c>
      <c r="C102" s="182"/>
      <c r="D102" s="182"/>
      <c r="E102" s="166"/>
      <c r="F102" s="42">
        <f>'ALS 10 BAZAR'!F102</f>
        <v>6</v>
      </c>
      <c r="G102" s="43">
        <f>'ALS 10 BAZAR'!G102</f>
        <v>25</v>
      </c>
      <c r="H102" s="39">
        <f t="shared" si="0"/>
        <v>150</v>
      </c>
      <c r="I102" s="39"/>
      <c r="J102" s="47"/>
      <c r="K102" s="56"/>
      <c r="L102" s="57"/>
      <c r="M102" s="169"/>
      <c r="N102" s="170"/>
      <c r="O102" s="167"/>
      <c r="P102" s="168"/>
      <c r="Q102" s="165"/>
      <c r="R102" s="166"/>
      <c r="S102" s="167"/>
      <c r="T102" s="168"/>
      <c r="U102" s="165"/>
      <c r="V102" s="166"/>
      <c r="W102" s="167"/>
      <c r="X102" s="168"/>
      <c r="Y102" s="165"/>
      <c r="Z102" s="166"/>
      <c r="AA102" s="167"/>
      <c r="AB102" s="168"/>
      <c r="AC102" s="165"/>
      <c r="AD102" s="166"/>
      <c r="AE102" s="167"/>
      <c r="AF102" s="168"/>
      <c r="AG102" s="165"/>
      <c r="AH102" s="166"/>
      <c r="AI102" s="167"/>
      <c r="AJ102" s="168"/>
      <c r="AK102" s="165"/>
      <c r="AL102" s="166"/>
      <c r="AM102" s="167"/>
      <c r="AN102" s="168"/>
      <c r="AO102" s="165"/>
      <c r="AP102" s="166"/>
      <c r="AQ102" s="167"/>
      <c r="AR102" s="168"/>
      <c r="AS102" s="165"/>
      <c r="AT102" s="166"/>
      <c r="AU102" s="167"/>
      <c r="AV102" s="168"/>
      <c r="AW102" s="23"/>
      <c r="AX102" s="23"/>
      <c r="AY102" s="23"/>
    </row>
    <row r="103" spans="1:51" s="44" customFormat="1" ht="22" customHeight="1" x14ac:dyDescent="0.2">
      <c r="A103" s="41">
        <f>'ALS 10 BAZAR'!A103</f>
        <v>4012</v>
      </c>
      <c r="B103" s="165" t="str">
        <f>'ALS 10 BAZAR'!B103:E103</f>
        <v>JOGO DOMINO</v>
      </c>
      <c r="C103" s="182"/>
      <c r="D103" s="182"/>
      <c r="E103" s="166"/>
      <c r="F103" s="42">
        <f>'ALS 10 BAZAR'!F103</f>
        <v>6</v>
      </c>
      <c r="G103" s="43">
        <f>'ALS 10 BAZAR'!G103</f>
        <v>100</v>
      </c>
      <c r="H103" s="39">
        <f t="shared" si="0"/>
        <v>600</v>
      </c>
      <c r="I103" s="39"/>
      <c r="J103" s="47"/>
      <c r="K103" s="56"/>
      <c r="L103" s="57"/>
      <c r="M103" s="169"/>
      <c r="N103" s="170"/>
      <c r="O103" s="167"/>
      <c r="P103" s="168"/>
      <c r="Q103" s="165"/>
      <c r="R103" s="166"/>
      <c r="S103" s="167"/>
      <c r="T103" s="168"/>
      <c r="U103" s="165"/>
      <c r="V103" s="166"/>
      <c r="W103" s="167"/>
      <c r="X103" s="168"/>
      <c r="Y103" s="165"/>
      <c r="Z103" s="166"/>
      <c r="AA103" s="167"/>
      <c r="AB103" s="168"/>
      <c r="AC103" s="165"/>
      <c r="AD103" s="166"/>
      <c r="AE103" s="167"/>
      <c r="AF103" s="168"/>
      <c r="AG103" s="165"/>
      <c r="AH103" s="166"/>
      <c r="AI103" s="167"/>
      <c r="AJ103" s="168"/>
      <c r="AK103" s="165"/>
      <c r="AL103" s="166"/>
      <c r="AM103" s="167"/>
      <c r="AN103" s="168"/>
      <c r="AO103" s="165"/>
      <c r="AP103" s="166"/>
      <c r="AQ103" s="167"/>
      <c r="AR103" s="168"/>
      <c r="AS103" s="165"/>
      <c r="AT103" s="166"/>
      <c r="AU103" s="167"/>
      <c r="AV103" s="168"/>
      <c r="AW103" s="23"/>
      <c r="AX103" s="23"/>
      <c r="AY103" s="23"/>
    </row>
    <row r="104" spans="1:51" s="44" customFormat="1" ht="22" customHeight="1" x14ac:dyDescent="0.2">
      <c r="A104" s="41">
        <f>'ALS 10 BAZAR'!A104</f>
        <v>4012</v>
      </c>
      <c r="B104" s="165" t="str">
        <f>'ALS 10 BAZAR'!B104:E104</f>
        <v>JOGO 2 EM 1 DAMA E TRILHA</v>
      </c>
      <c r="C104" s="182"/>
      <c r="D104" s="182"/>
      <c r="E104" s="166"/>
      <c r="F104" s="42">
        <f>'ALS 10 BAZAR'!F104</f>
        <v>6</v>
      </c>
      <c r="G104" s="43">
        <f>'ALS 10 BAZAR'!G104</f>
        <v>0</v>
      </c>
      <c r="H104" s="39">
        <f t="shared" si="0"/>
        <v>0</v>
      </c>
      <c r="I104" s="39"/>
      <c r="J104" s="47"/>
      <c r="K104" s="56"/>
      <c r="L104" s="57"/>
      <c r="M104" s="169"/>
      <c r="N104" s="170"/>
      <c r="O104" s="167"/>
      <c r="P104" s="168"/>
      <c r="Q104" s="165"/>
      <c r="R104" s="166"/>
      <c r="S104" s="167"/>
      <c r="T104" s="168"/>
      <c r="U104" s="165"/>
      <c r="V104" s="166"/>
      <c r="W104" s="167"/>
      <c r="X104" s="168"/>
      <c r="Y104" s="165"/>
      <c r="Z104" s="166"/>
      <c r="AA104" s="167"/>
      <c r="AB104" s="168"/>
      <c r="AC104" s="165"/>
      <c r="AD104" s="166"/>
      <c r="AE104" s="167"/>
      <c r="AF104" s="168"/>
      <c r="AG104" s="165"/>
      <c r="AH104" s="166"/>
      <c r="AI104" s="167"/>
      <c r="AJ104" s="168"/>
      <c r="AK104" s="165"/>
      <c r="AL104" s="166"/>
      <c r="AM104" s="167"/>
      <c r="AN104" s="168"/>
      <c r="AO104" s="165"/>
      <c r="AP104" s="166"/>
      <c r="AQ104" s="167"/>
      <c r="AR104" s="168"/>
      <c r="AS104" s="165"/>
      <c r="AT104" s="166"/>
      <c r="AU104" s="167"/>
      <c r="AV104" s="168"/>
      <c r="AW104" s="23"/>
      <c r="AX104" s="23"/>
      <c r="AY104" s="23"/>
    </row>
    <row r="105" spans="1:51" s="44" customFormat="1" ht="22" customHeight="1" x14ac:dyDescent="0.2">
      <c r="A105" s="41">
        <f>'ALS 10 BAZAR'!A105</f>
        <v>4033</v>
      </c>
      <c r="B105" s="165" t="str">
        <f>'ALS 10 BAZAR'!B105:E105</f>
        <v>JOGO LUDO</v>
      </c>
      <c r="C105" s="182"/>
      <c r="D105" s="182"/>
      <c r="E105" s="166"/>
      <c r="F105" s="42">
        <f>'ALS 10 BAZAR'!F105</f>
        <v>6</v>
      </c>
      <c r="G105" s="43">
        <f>'ALS 10 BAZAR'!G105</f>
        <v>0</v>
      </c>
      <c r="H105" s="39">
        <f t="shared" si="0"/>
        <v>0</v>
      </c>
      <c r="I105" s="39"/>
      <c r="J105" s="47"/>
      <c r="K105" s="56"/>
      <c r="L105" s="57"/>
      <c r="M105" s="169"/>
      <c r="N105" s="170"/>
      <c r="O105" s="167"/>
      <c r="P105" s="168"/>
      <c r="Q105" s="165"/>
      <c r="R105" s="166"/>
      <c r="S105" s="167"/>
      <c r="T105" s="168"/>
      <c r="U105" s="165"/>
      <c r="V105" s="166"/>
      <c r="W105" s="167"/>
      <c r="X105" s="168"/>
      <c r="Y105" s="165"/>
      <c r="Z105" s="166"/>
      <c r="AA105" s="167"/>
      <c r="AB105" s="168"/>
      <c r="AC105" s="165"/>
      <c r="AD105" s="166"/>
      <c r="AE105" s="167"/>
      <c r="AF105" s="168"/>
      <c r="AG105" s="165"/>
      <c r="AH105" s="166"/>
      <c r="AI105" s="167"/>
      <c r="AJ105" s="168"/>
      <c r="AK105" s="165"/>
      <c r="AL105" s="166"/>
      <c r="AM105" s="167"/>
      <c r="AN105" s="168"/>
      <c r="AO105" s="165"/>
      <c r="AP105" s="166"/>
      <c r="AQ105" s="167"/>
      <c r="AR105" s="168"/>
      <c r="AS105" s="165"/>
      <c r="AT105" s="166"/>
      <c r="AU105" s="167"/>
      <c r="AV105" s="168"/>
      <c r="AW105" s="23"/>
      <c r="AX105" s="23"/>
      <c r="AY105" s="23"/>
    </row>
    <row r="106" spans="1:51" s="44" customFormat="1" ht="22" customHeight="1" x14ac:dyDescent="0.2">
      <c r="A106" s="41">
        <f>'ALS 10 BAZAR'!A106</f>
        <v>0</v>
      </c>
      <c r="B106" s="165">
        <f>'ALS 10 BAZAR'!B106:E106</f>
        <v>0</v>
      </c>
      <c r="C106" s="182"/>
      <c r="D106" s="182"/>
      <c r="E106" s="166"/>
      <c r="F106" s="42">
        <f>'ALS 10 BAZAR'!F106</f>
        <v>6</v>
      </c>
      <c r="G106" s="43">
        <f>'ALS 10 BAZAR'!G106</f>
        <v>0</v>
      </c>
      <c r="H106" s="39">
        <f t="shared" si="0"/>
        <v>0</v>
      </c>
      <c r="I106" s="39"/>
      <c r="J106" s="47"/>
      <c r="K106" s="56"/>
      <c r="L106" s="57"/>
      <c r="M106" s="169"/>
      <c r="N106" s="170"/>
      <c r="O106" s="167"/>
      <c r="P106" s="168"/>
      <c r="Q106" s="165"/>
      <c r="R106" s="166"/>
      <c r="S106" s="167"/>
      <c r="T106" s="168"/>
      <c r="U106" s="165"/>
      <c r="V106" s="166"/>
      <c r="W106" s="167"/>
      <c r="X106" s="168"/>
      <c r="Y106" s="165"/>
      <c r="Z106" s="166"/>
      <c r="AA106" s="167"/>
      <c r="AB106" s="168"/>
      <c r="AC106" s="165"/>
      <c r="AD106" s="166"/>
      <c r="AE106" s="167"/>
      <c r="AF106" s="168"/>
      <c r="AG106" s="165"/>
      <c r="AH106" s="166"/>
      <c r="AI106" s="167"/>
      <c r="AJ106" s="168"/>
      <c r="AK106" s="165"/>
      <c r="AL106" s="166"/>
      <c r="AM106" s="167"/>
      <c r="AN106" s="168"/>
      <c r="AO106" s="165"/>
      <c r="AP106" s="166"/>
      <c r="AQ106" s="167"/>
      <c r="AR106" s="168"/>
      <c r="AS106" s="165"/>
      <c r="AT106" s="166"/>
      <c r="AU106" s="167"/>
      <c r="AV106" s="168"/>
      <c r="AW106" s="23"/>
      <c r="AX106" s="23"/>
      <c r="AY106" s="23"/>
    </row>
    <row r="107" spans="1:51" s="44" customFormat="1" ht="22" customHeight="1" x14ac:dyDescent="0.2">
      <c r="A107" s="41">
        <f>'ALS 10 BAZAR'!A107</f>
        <v>0</v>
      </c>
      <c r="B107" s="165" t="str">
        <f>'ALS 10 BAZAR'!B107:E107</f>
        <v>QUADRO SEMANA ORGANIZADA</v>
      </c>
      <c r="C107" s="182"/>
      <c r="D107" s="182"/>
      <c r="E107" s="166"/>
      <c r="F107" s="42">
        <f>'ALS 10 BAZAR'!F107</f>
        <v>6</v>
      </c>
      <c r="G107" s="43">
        <f>'ALS 10 BAZAR'!G107</f>
        <v>0</v>
      </c>
      <c r="H107" s="39">
        <f t="shared" si="0"/>
        <v>0</v>
      </c>
      <c r="I107" s="39"/>
      <c r="J107" s="47"/>
      <c r="K107" s="56"/>
      <c r="L107" s="57"/>
      <c r="M107" s="169"/>
      <c r="N107" s="170"/>
      <c r="O107" s="167"/>
      <c r="P107" s="168"/>
      <c r="Q107" s="165"/>
      <c r="R107" s="166"/>
      <c r="S107" s="167"/>
      <c r="T107" s="168"/>
      <c r="U107" s="165"/>
      <c r="V107" s="166"/>
      <c r="W107" s="167"/>
      <c r="X107" s="168"/>
      <c r="Y107" s="165"/>
      <c r="Z107" s="166"/>
      <c r="AA107" s="167"/>
      <c r="AB107" s="168"/>
      <c r="AC107" s="165"/>
      <c r="AD107" s="166"/>
      <c r="AE107" s="167"/>
      <c r="AF107" s="168"/>
      <c r="AG107" s="165"/>
      <c r="AH107" s="166"/>
      <c r="AI107" s="167"/>
      <c r="AJ107" s="168"/>
      <c r="AK107" s="165"/>
      <c r="AL107" s="166"/>
      <c r="AM107" s="167"/>
      <c r="AN107" s="168"/>
      <c r="AO107" s="165"/>
      <c r="AP107" s="166"/>
      <c r="AQ107" s="167"/>
      <c r="AR107" s="168"/>
      <c r="AS107" s="165"/>
      <c r="AT107" s="166"/>
      <c r="AU107" s="167"/>
      <c r="AV107" s="168"/>
      <c r="AW107" s="23"/>
      <c r="AX107" s="23"/>
      <c r="AY107" s="23"/>
    </row>
    <row r="108" spans="1:51" s="44" customFormat="1" ht="22" customHeight="1" x14ac:dyDescent="0.2">
      <c r="A108" s="41">
        <f>'ALS 10 BAZAR'!A108</f>
        <v>1435</v>
      </c>
      <c r="B108" s="165" t="str">
        <f>'ALS 10 BAZAR'!B108:E108</f>
        <v>QUADRO DESENHANDO AS LETRAS</v>
      </c>
      <c r="C108" s="182"/>
      <c r="D108" s="182"/>
      <c r="E108" s="166"/>
      <c r="F108" s="42">
        <f>'ALS 10 BAZAR'!F108</f>
        <v>6</v>
      </c>
      <c r="G108" s="43">
        <f>'ALS 10 BAZAR'!G108</f>
        <v>0</v>
      </c>
      <c r="H108" s="39">
        <f t="shared" si="0"/>
        <v>0</v>
      </c>
      <c r="I108" s="39"/>
      <c r="J108" s="47"/>
      <c r="K108" s="56"/>
      <c r="L108" s="57"/>
      <c r="M108" s="169"/>
      <c r="N108" s="170"/>
      <c r="O108" s="167"/>
      <c r="P108" s="168"/>
      <c r="Q108" s="165"/>
      <c r="R108" s="166"/>
      <c r="S108" s="167"/>
      <c r="T108" s="168"/>
      <c r="U108" s="165"/>
      <c r="V108" s="166"/>
      <c r="W108" s="167"/>
      <c r="X108" s="168"/>
      <c r="Y108" s="165"/>
      <c r="Z108" s="166"/>
      <c r="AA108" s="167"/>
      <c r="AB108" s="168"/>
      <c r="AC108" s="165"/>
      <c r="AD108" s="166"/>
      <c r="AE108" s="167"/>
      <c r="AF108" s="168"/>
      <c r="AG108" s="165"/>
      <c r="AH108" s="166"/>
      <c r="AI108" s="167"/>
      <c r="AJ108" s="168"/>
      <c r="AK108" s="165"/>
      <c r="AL108" s="166"/>
      <c r="AM108" s="167"/>
      <c r="AN108" s="168"/>
      <c r="AO108" s="165"/>
      <c r="AP108" s="166"/>
      <c r="AQ108" s="167"/>
      <c r="AR108" s="168"/>
      <c r="AS108" s="165"/>
      <c r="AT108" s="166"/>
      <c r="AU108" s="167"/>
      <c r="AV108" s="168"/>
      <c r="AW108" s="23"/>
      <c r="AX108" s="23"/>
      <c r="AY108" s="23"/>
    </row>
    <row r="109" spans="1:51" s="44" customFormat="1" ht="22" customHeight="1" x14ac:dyDescent="0.2">
      <c r="A109" s="41">
        <f>'ALS 10 BAZAR'!A109</f>
        <v>1437</v>
      </c>
      <c r="B109" s="165" t="str">
        <f>'ALS 10 BAZAR'!B109:E109</f>
        <v>QUADRO VOGAIS</v>
      </c>
      <c r="C109" s="182"/>
      <c r="D109" s="182"/>
      <c r="E109" s="166"/>
      <c r="F109" s="42">
        <f>'ALS 10 BAZAR'!F109</f>
        <v>6</v>
      </c>
      <c r="G109" s="43">
        <f>'ALS 10 BAZAR'!G109</f>
        <v>0</v>
      </c>
      <c r="H109" s="39">
        <f t="shared" si="0"/>
        <v>0</v>
      </c>
      <c r="I109" s="39"/>
      <c r="J109" s="47"/>
      <c r="K109" s="56"/>
      <c r="L109" s="57"/>
      <c r="M109" s="169"/>
      <c r="N109" s="170"/>
      <c r="O109" s="167"/>
      <c r="P109" s="168"/>
      <c r="Q109" s="165"/>
      <c r="R109" s="166"/>
      <c r="S109" s="167"/>
      <c r="T109" s="168"/>
      <c r="U109" s="165"/>
      <c r="V109" s="166"/>
      <c r="W109" s="167"/>
      <c r="X109" s="168"/>
      <c r="Y109" s="165"/>
      <c r="Z109" s="166"/>
      <c r="AA109" s="167"/>
      <c r="AB109" s="168"/>
      <c r="AC109" s="165"/>
      <c r="AD109" s="166"/>
      <c r="AE109" s="167"/>
      <c r="AF109" s="168"/>
      <c r="AG109" s="165"/>
      <c r="AH109" s="166"/>
      <c r="AI109" s="167"/>
      <c r="AJ109" s="168"/>
      <c r="AK109" s="165"/>
      <c r="AL109" s="166"/>
      <c r="AM109" s="167"/>
      <c r="AN109" s="168"/>
      <c r="AO109" s="165"/>
      <c r="AP109" s="166"/>
      <c r="AQ109" s="167"/>
      <c r="AR109" s="168"/>
      <c r="AS109" s="165"/>
      <c r="AT109" s="166"/>
      <c r="AU109" s="167"/>
      <c r="AV109" s="168"/>
      <c r="AW109" s="23"/>
      <c r="AX109" s="23"/>
      <c r="AY109" s="23"/>
    </row>
    <row r="110" spans="1:51" s="44" customFormat="1" ht="22" customHeight="1" x14ac:dyDescent="0.2">
      <c r="A110" s="41">
        <f>'ALS 10 BAZAR'!A110</f>
        <v>1439</v>
      </c>
      <c r="B110" s="165" t="str">
        <f>'ALS 10 BAZAR'!B110:E110</f>
        <v>QUADRO BRANCA DE NEVE</v>
      </c>
      <c r="C110" s="182"/>
      <c r="D110" s="182"/>
      <c r="E110" s="166"/>
      <c r="F110" s="42">
        <f>'ALS 10 BAZAR'!F110</f>
        <v>6</v>
      </c>
      <c r="G110" s="43">
        <f>'ALS 10 BAZAR'!G110</f>
        <v>45</v>
      </c>
      <c r="H110" s="39">
        <f t="shared" si="0"/>
        <v>270</v>
      </c>
      <c r="I110" s="39"/>
      <c r="J110" s="47"/>
      <c r="K110" s="56"/>
      <c r="L110" s="57"/>
      <c r="M110" s="169"/>
      <c r="N110" s="170"/>
      <c r="O110" s="167"/>
      <c r="P110" s="168"/>
      <c r="Q110" s="165"/>
      <c r="R110" s="166"/>
      <c r="S110" s="167"/>
      <c r="T110" s="168"/>
      <c r="U110" s="165"/>
      <c r="V110" s="166"/>
      <c r="W110" s="167"/>
      <c r="X110" s="168"/>
      <c r="Y110" s="165"/>
      <c r="Z110" s="166"/>
      <c r="AA110" s="167"/>
      <c r="AB110" s="168"/>
      <c r="AC110" s="165"/>
      <c r="AD110" s="166"/>
      <c r="AE110" s="167"/>
      <c r="AF110" s="168"/>
      <c r="AG110" s="165"/>
      <c r="AH110" s="166"/>
      <c r="AI110" s="167"/>
      <c r="AJ110" s="168"/>
      <c r="AK110" s="165"/>
      <c r="AL110" s="166"/>
      <c r="AM110" s="167"/>
      <c r="AN110" s="168"/>
      <c r="AO110" s="165"/>
      <c r="AP110" s="166"/>
      <c r="AQ110" s="167"/>
      <c r="AR110" s="168"/>
      <c r="AS110" s="165"/>
      <c r="AT110" s="166"/>
      <c r="AU110" s="167"/>
      <c r="AV110" s="168"/>
      <c r="AW110" s="23"/>
      <c r="AX110" s="23"/>
      <c r="AY110" s="23"/>
    </row>
    <row r="111" spans="1:51" s="44" customFormat="1" ht="22" customHeight="1" x14ac:dyDescent="0.2">
      <c r="A111" s="41">
        <f>'ALS 10 BAZAR'!A111</f>
        <v>0</v>
      </c>
      <c r="B111" s="165" t="str">
        <f>'ALS 10 BAZAR'!B111:E111</f>
        <v>QUADRO FLORK</v>
      </c>
      <c r="C111" s="182"/>
      <c r="D111" s="182"/>
      <c r="E111" s="166"/>
      <c r="F111" s="42">
        <f>'ALS 10 BAZAR'!F111</f>
        <v>6</v>
      </c>
      <c r="G111" s="43">
        <f>'ALS 10 BAZAR'!G111</f>
        <v>0</v>
      </c>
      <c r="H111" s="39">
        <f t="shared" si="0"/>
        <v>0</v>
      </c>
      <c r="I111" s="39"/>
      <c r="J111" s="47"/>
      <c r="K111" s="56"/>
      <c r="L111" s="57"/>
      <c r="M111" s="169"/>
      <c r="N111" s="170"/>
      <c r="O111" s="167"/>
      <c r="P111" s="168"/>
      <c r="Q111" s="165"/>
      <c r="R111" s="166"/>
      <c r="S111" s="167"/>
      <c r="T111" s="168"/>
      <c r="U111" s="165"/>
      <c r="V111" s="166"/>
      <c r="W111" s="167"/>
      <c r="X111" s="168"/>
      <c r="Y111" s="165"/>
      <c r="Z111" s="166"/>
      <c r="AA111" s="167"/>
      <c r="AB111" s="168"/>
      <c r="AC111" s="165"/>
      <c r="AD111" s="166"/>
      <c r="AE111" s="167"/>
      <c r="AF111" s="168"/>
      <c r="AG111" s="165"/>
      <c r="AH111" s="166"/>
      <c r="AI111" s="167"/>
      <c r="AJ111" s="168"/>
      <c r="AK111" s="165"/>
      <c r="AL111" s="166"/>
      <c r="AM111" s="167"/>
      <c r="AN111" s="168"/>
      <c r="AO111" s="165"/>
      <c r="AP111" s="166"/>
      <c r="AQ111" s="167"/>
      <c r="AR111" s="168"/>
      <c r="AS111" s="165"/>
      <c r="AT111" s="166"/>
      <c r="AU111" s="167"/>
      <c r="AV111" s="168"/>
      <c r="AW111" s="23"/>
      <c r="AX111" s="23"/>
      <c r="AY111" s="23"/>
    </row>
    <row r="112" spans="1:51" s="44" customFormat="1" ht="22" customHeight="1" x14ac:dyDescent="0.2">
      <c r="A112" s="41">
        <f>'ALS 10 BAZAR'!A112</f>
        <v>1440</v>
      </c>
      <c r="B112" s="165" t="str">
        <f>'ALS 10 BAZAR'!B112:E112</f>
        <v>QUADRO MINHA ROTINA BRAVINHA</v>
      </c>
      <c r="C112" s="182"/>
      <c r="D112" s="182"/>
      <c r="E112" s="166"/>
      <c r="F112" s="42">
        <f>'ALS 10 BAZAR'!F112</f>
        <v>6</v>
      </c>
      <c r="G112" s="43">
        <f>'ALS 10 BAZAR'!G112</f>
        <v>0</v>
      </c>
      <c r="H112" s="39">
        <f t="shared" si="0"/>
        <v>0</v>
      </c>
      <c r="I112" s="39"/>
      <c r="J112" s="47"/>
      <c r="K112" s="56"/>
      <c r="L112" s="57"/>
      <c r="M112" s="169"/>
      <c r="N112" s="170"/>
      <c r="O112" s="167"/>
      <c r="P112" s="168"/>
      <c r="Q112" s="165"/>
      <c r="R112" s="166"/>
      <c r="S112" s="167"/>
      <c r="T112" s="168"/>
      <c r="U112" s="165"/>
      <c r="V112" s="166"/>
      <c r="W112" s="167"/>
      <c r="X112" s="168"/>
      <c r="Y112" s="165"/>
      <c r="Z112" s="166"/>
      <c r="AA112" s="167"/>
      <c r="AB112" s="168"/>
      <c r="AC112" s="165"/>
      <c r="AD112" s="166"/>
      <c r="AE112" s="167"/>
      <c r="AF112" s="168"/>
      <c r="AG112" s="165"/>
      <c r="AH112" s="166"/>
      <c r="AI112" s="167"/>
      <c r="AJ112" s="168"/>
      <c r="AK112" s="165"/>
      <c r="AL112" s="166"/>
      <c r="AM112" s="167"/>
      <c r="AN112" s="168"/>
      <c r="AO112" s="165"/>
      <c r="AP112" s="166"/>
      <c r="AQ112" s="167"/>
      <c r="AR112" s="168"/>
      <c r="AS112" s="165"/>
      <c r="AT112" s="166"/>
      <c r="AU112" s="167"/>
      <c r="AV112" s="168"/>
      <c r="AW112" s="23"/>
      <c r="AX112" s="23"/>
      <c r="AY112" s="23"/>
    </row>
    <row r="113" spans="1:51" s="44" customFormat="1" ht="22" customHeight="1" x14ac:dyDescent="0.2">
      <c r="A113" s="41">
        <f>'ALS 10 BAZAR'!A113</f>
        <v>1429</v>
      </c>
      <c r="B113" s="165" t="str">
        <f>'ALS 10 BAZAR'!B113:E113</f>
        <v>QUADRO MINHA ROTINA</v>
      </c>
      <c r="C113" s="182"/>
      <c r="D113" s="182"/>
      <c r="E113" s="166"/>
      <c r="F113" s="42">
        <f>'ALS 10 BAZAR'!F113</f>
        <v>6</v>
      </c>
      <c r="G113" s="43">
        <f>'ALS 10 BAZAR'!G113</f>
        <v>50</v>
      </c>
      <c r="H113" s="39">
        <f t="shared" si="0"/>
        <v>300</v>
      </c>
      <c r="I113" s="39"/>
      <c r="J113" s="47"/>
      <c r="K113" s="56"/>
      <c r="L113" s="57"/>
      <c r="M113" s="169"/>
      <c r="N113" s="170"/>
      <c r="O113" s="167"/>
      <c r="P113" s="168"/>
      <c r="Q113" s="165"/>
      <c r="R113" s="166"/>
      <c r="S113" s="167"/>
      <c r="T113" s="168"/>
      <c r="U113" s="165"/>
      <c r="V113" s="166"/>
      <c r="W113" s="167"/>
      <c r="X113" s="168"/>
      <c r="Y113" s="165"/>
      <c r="Z113" s="166"/>
      <c r="AA113" s="167"/>
      <c r="AB113" s="168"/>
      <c r="AC113" s="165"/>
      <c r="AD113" s="166"/>
      <c r="AE113" s="167"/>
      <c r="AF113" s="168"/>
      <c r="AG113" s="165"/>
      <c r="AH113" s="166"/>
      <c r="AI113" s="167"/>
      <c r="AJ113" s="168"/>
      <c r="AK113" s="165"/>
      <c r="AL113" s="166"/>
      <c r="AM113" s="167"/>
      <c r="AN113" s="168"/>
      <c r="AO113" s="165"/>
      <c r="AP113" s="166"/>
      <c r="AQ113" s="167"/>
      <c r="AR113" s="168"/>
      <c r="AS113" s="165"/>
      <c r="AT113" s="166"/>
      <c r="AU113" s="167"/>
      <c r="AV113" s="168"/>
      <c r="AW113" s="23"/>
      <c r="AX113" s="23"/>
      <c r="AY113" s="23"/>
    </row>
    <row r="114" spans="1:51" s="44" customFormat="1" ht="22" customHeight="1" x14ac:dyDescent="0.2">
      <c r="A114" s="41">
        <f>'ALS 10 BAZAR'!A114</f>
        <v>1430</v>
      </c>
      <c r="B114" s="165" t="str">
        <f>'ALS 10 BAZAR'!B114:E114</f>
        <v>QUADRO MURAL DAS CONQUISTAS</v>
      </c>
      <c r="C114" s="182"/>
      <c r="D114" s="182"/>
      <c r="E114" s="166"/>
      <c r="F114" s="42">
        <f>'ALS 10 BAZAR'!F114</f>
        <v>6</v>
      </c>
      <c r="G114" s="43">
        <f>'ALS 10 BAZAR'!G114</f>
        <v>30</v>
      </c>
      <c r="H114" s="39">
        <f t="shared" si="0"/>
        <v>180</v>
      </c>
      <c r="I114" s="39"/>
      <c r="J114" s="47"/>
      <c r="K114" s="56"/>
      <c r="L114" s="57"/>
      <c r="M114" s="169"/>
      <c r="N114" s="170"/>
      <c r="O114" s="167"/>
      <c r="P114" s="168"/>
      <c r="Q114" s="165"/>
      <c r="R114" s="166"/>
      <c r="S114" s="167"/>
      <c r="T114" s="168"/>
      <c r="U114" s="165"/>
      <c r="V114" s="166"/>
      <c r="W114" s="167"/>
      <c r="X114" s="168"/>
      <c r="Y114" s="165"/>
      <c r="Z114" s="166"/>
      <c r="AA114" s="167"/>
      <c r="AB114" s="168"/>
      <c r="AC114" s="165"/>
      <c r="AD114" s="166"/>
      <c r="AE114" s="167"/>
      <c r="AF114" s="168"/>
      <c r="AG114" s="165"/>
      <c r="AH114" s="166"/>
      <c r="AI114" s="167"/>
      <c r="AJ114" s="168"/>
      <c r="AK114" s="165"/>
      <c r="AL114" s="166"/>
      <c r="AM114" s="167"/>
      <c r="AN114" s="168"/>
      <c r="AO114" s="165"/>
      <c r="AP114" s="166"/>
      <c r="AQ114" s="167"/>
      <c r="AR114" s="168"/>
      <c r="AS114" s="165"/>
      <c r="AT114" s="166"/>
      <c r="AU114" s="167"/>
      <c r="AV114" s="168"/>
      <c r="AW114" s="23"/>
      <c r="AX114" s="23"/>
      <c r="AY114" s="23"/>
    </row>
    <row r="115" spans="1:51" s="44" customFormat="1" ht="22" customHeight="1" x14ac:dyDescent="0.2">
      <c r="A115" s="41">
        <f>'ALS 10 BAZAR'!A115</f>
        <v>1431</v>
      </c>
      <c r="B115" s="165" t="str">
        <f>'ALS 10 BAZAR'!B115:E115</f>
        <v>QUADRO MEUS RABISCOS</v>
      </c>
      <c r="C115" s="182"/>
      <c r="D115" s="182"/>
      <c r="E115" s="166"/>
      <c r="F115" s="42">
        <f>'ALS 10 BAZAR'!F115</f>
        <v>6</v>
      </c>
      <c r="G115" s="43">
        <f>'ALS 10 BAZAR'!G115</f>
        <v>50</v>
      </c>
      <c r="H115" s="39">
        <f t="shared" si="0"/>
        <v>300</v>
      </c>
      <c r="I115" s="39"/>
      <c r="J115" s="47"/>
      <c r="K115" s="56"/>
      <c r="L115" s="57"/>
      <c r="M115" s="169"/>
      <c r="N115" s="170"/>
      <c r="O115" s="167"/>
      <c r="P115" s="168"/>
      <c r="Q115" s="165"/>
      <c r="R115" s="166"/>
      <c r="S115" s="167"/>
      <c r="T115" s="168"/>
      <c r="U115" s="165"/>
      <c r="V115" s="166"/>
      <c r="W115" s="167"/>
      <c r="X115" s="168"/>
      <c r="Y115" s="165"/>
      <c r="Z115" s="166"/>
      <c r="AA115" s="167"/>
      <c r="AB115" s="168"/>
      <c r="AC115" s="165"/>
      <c r="AD115" s="166"/>
      <c r="AE115" s="167"/>
      <c r="AF115" s="168"/>
      <c r="AG115" s="165"/>
      <c r="AH115" s="166"/>
      <c r="AI115" s="167"/>
      <c r="AJ115" s="168"/>
      <c r="AK115" s="165"/>
      <c r="AL115" s="166"/>
      <c r="AM115" s="167"/>
      <c r="AN115" s="168"/>
      <c r="AO115" s="165"/>
      <c r="AP115" s="166"/>
      <c r="AQ115" s="167"/>
      <c r="AR115" s="168"/>
      <c r="AS115" s="165"/>
      <c r="AT115" s="166"/>
      <c r="AU115" s="167"/>
      <c r="AV115" s="168"/>
      <c r="AW115" s="23"/>
      <c r="AX115" s="23"/>
      <c r="AY115" s="23"/>
    </row>
    <row r="116" spans="1:51" s="44" customFormat="1" ht="22" customHeight="1" x14ac:dyDescent="0.2">
      <c r="A116" s="41">
        <f>'ALS 10 BAZAR'!A116</f>
        <v>0</v>
      </c>
      <c r="B116" s="165">
        <f>'ALS 10 BAZAR'!B116:E116</f>
        <v>0</v>
      </c>
      <c r="C116" s="182"/>
      <c r="D116" s="182"/>
      <c r="E116" s="166"/>
      <c r="F116" s="42">
        <f>'ALS 10 BAZAR'!F116</f>
        <v>6</v>
      </c>
      <c r="G116" s="43">
        <f>'ALS 10 BAZAR'!G116</f>
        <v>0</v>
      </c>
      <c r="H116" s="39">
        <f t="shared" si="0"/>
        <v>0</v>
      </c>
      <c r="I116" s="39"/>
      <c r="J116" s="47"/>
      <c r="K116" s="56"/>
      <c r="L116" s="57"/>
      <c r="M116" s="169"/>
      <c r="N116" s="170"/>
      <c r="O116" s="167"/>
      <c r="P116" s="168"/>
      <c r="Q116" s="165"/>
      <c r="R116" s="166"/>
      <c r="S116" s="167"/>
      <c r="T116" s="168"/>
      <c r="U116" s="165"/>
      <c r="V116" s="166"/>
      <c r="W116" s="167"/>
      <c r="X116" s="168"/>
      <c r="Y116" s="165"/>
      <c r="Z116" s="166"/>
      <c r="AA116" s="167"/>
      <c r="AB116" s="168"/>
      <c r="AC116" s="165"/>
      <c r="AD116" s="166"/>
      <c r="AE116" s="167"/>
      <c r="AF116" s="168"/>
      <c r="AG116" s="165"/>
      <c r="AH116" s="166"/>
      <c r="AI116" s="167"/>
      <c r="AJ116" s="168"/>
      <c r="AK116" s="165"/>
      <c r="AL116" s="166"/>
      <c r="AM116" s="167"/>
      <c r="AN116" s="168"/>
      <c r="AO116" s="165"/>
      <c r="AP116" s="166"/>
      <c r="AQ116" s="167"/>
      <c r="AR116" s="168"/>
      <c r="AS116" s="165"/>
      <c r="AT116" s="166"/>
      <c r="AU116" s="167"/>
      <c r="AV116" s="168"/>
      <c r="AW116" s="23"/>
      <c r="AX116" s="23"/>
      <c r="AY116" s="23"/>
    </row>
    <row r="117" spans="1:51" s="44" customFormat="1" ht="22" customHeight="1" x14ac:dyDescent="0.2">
      <c r="A117" s="41">
        <f>'ALS 10 BAZAR'!A117</f>
        <v>678</v>
      </c>
      <c r="B117" s="165" t="str">
        <f>'ALS 10 BAZAR'!B117:E117</f>
        <v>COFRE MODELO CASA</v>
      </c>
      <c r="C117" s="182"/>
      <c r="D117" s="182"/>
      <c r="E117" s="166"/>
      <c r="F117" s="42">
        <f>'ALS 10 BAZAR'!F117</f>
        <v>6</v>
      </c>
      <c r="G117" s="43">
        <f>'ALS 10 BAZAR'!G117</f>
        <v>50</v>
      </c>
      <c r="H117" s="39">
        <f t="shared" si="0"/>
        <v>300</v>
      </c>
      <c r="I117" s="39"/>
      <c r="J117" s="47"/>
      <c r="K117" s="56"/>
      <c r="L117" s="57"/>
      <c r="M117" s="169"/>
      <c r="N117" s="170"/>
      <c r="O117" s="167"/>
      <c r="P117" s="168"/>
      <c r="Q117" s="165"/>
      <c r="R117" s="166"/>
      <c r="S117" s="167"/>
      <c r="T117" s="168"/>
      <c r="U117" s="165"/>
      <c r="V117" s="166"/>
      <c r="W117" s="167"/>
      <c r="X117" s="168"/>
      <c r="Y117" s="165"/>
      <c r="Z117" s="166"/>
      <c r="AA117" s="167"/>
      <c r="AB117" s="168"/>
      <c r="AC117" s="165"/>
      <c r="AD117" s="166"/>
      <c r="AE117" s="167"/>
      <c r="AF117" s="168"/>
      <c r="AG117" s="165"/>
      <c r="AH117" s="166"/>
      <c r="AI117" s="167"/>
      <c r="AJ117" s="168"/>
      <c r="AK117" s="165"/>
      <c r="AL117" s="166"/>
      <c r="AM117" s="167"/>
      <c r="AN117" s="168"/>
      <c r="AO117" s="165"/>
      <c r="AP117" s="166"/>
      <c r="AQ117" s="167"/>
      <c r="AR117" s="168"/>
      <c r="AS117" s="165"/>
      <c r="AT117" s="166"/>
      <c r="AU117" s="167"/>
      <c r="AV117" s="168"/>
      <c r="AW117" s="23"/>
      <c r="AX117" s="23"/>
      <c r="AY117" s="23"/>
    </row>
    <row r="118" spans="1:51" s="44" customFormat="1" ht="22" customHeight="1" x14ac:dyDescent="0.2">
      <c r="A118" s="41">
        <f>'ALS 10 BAZAR'!A118</f>
        <v>0</v>
      </c>
      <c r="B118" s="165" t="str">
        <f>'ALS 10 BAZAR'!B118:E118</f>
        <v>COFRE DESAFIO DINO</v>
      </c>
      <c r="C118" s="182"/>
      <c r="D118" s="182"/>
      <c r="E118" s="166"/>
      <c r="F118" s="42">
        <f>'ALS 10 BAZAR'!F118</f>
        <v>6</v>
      </c>
      <c r="G118" s="43">
        <f>'ALS 10 BAZAR'!G118</f>
        <v>0</v>
      </c>
      <c r="H118" s="39">
        <f t="shared" si="0"/>
        <v>0</v>
      </c>
      <c r="I118" s="39"/>
      <c r="J118" s="47"/>
      <c r="K118" s="56"/>
      <c r="L118" s="57"/>
      <c r="M118" s="169"/>
      <c r="N118" s="170"/>
      <c r="O118" s="167"/>
      <c r="P118" s="168"/>
      <c r="Q118" s="165"/>
      <c r="R118" s="166"/>
      <c r="S118" s="167"/>
      <c r="T118" s="168"/>
      <c r="U118" s="165"/>
      <c r="V118" s="166"/>
      <c r="W118" s="167"/>
      <c r="X118" s="168"/>
      <c r="Y118" s="165"/>
      <c r="Z118" s="166"/>
      <c r="AA118" s="167"/>
      <c r="AB118" s="168"/>
      <c r="AC118" s="165"/>
      <c r="AD118" s="166"/>
      <c r="AE118" s="167"/>
      <c r="AF118" s="168"/>
      <c r="AG118" s="165"/>
      <c r="AH118" s="166"/>
      <c r="AI118" s="167"/>
      <c r="AJ118" s="168"/>
      <c r="AK118" s="165"/>
      <c r="AL118" s="166"/>
      <c r="AM118" s="167"/>
      <c r="AN118" s="168"/>
      <c r="AO118" s="165"/>
      <c r="AP118" s="166"/>
      <c r="AQ118" s="167"/>
      <c r="AR118" s="168"/>
      <c r="AS118" s="165"/>
      <c r="AT118" s="166"/>
      <c r="AU118" s="167"/>
      <c r="AV118" s="168"/>
      <c r="AW118" s="23"/>
      <c r="AX118" s="23"/>
      <c r="AY118" s="23"/>
    </row>
    <row r="119" spans="1:51" s="44" customFormat="1" ht="22" customHeight="1" x14ac:dyDescent="0.2">
      <c r="A119" s="41">
        <f>'ALS 10 BAZAR'!A119</f>
        <v>680</v>
      </c>
      <c r="B119" s="165" t="str">
        <f>'ALS 10 BAZAR'!B119:E119</f>
        <v>COFRE DESAFIO DOS 1500</v>
      </c>
      <c r="C119" s="182"/>
      <c r="D119" s="182"/>
      <c r="E119" s="166"/>
      <c r="F119" s="42">
        <f>'ALS 10 BAZAR'!F119</f>
        <v>6</v>
      </c>
      <c r="G119" s="43">
        <f>'ALS 10 BAZAR'!G119</f>
        <v>40</v>
      </c>
      <c r="H119" s="39">
        <f t="shared" si="0"/>
        <v>240</v>
      </c>
      <c r="I119" s="39"/>
      <c r="J119" s="47"/>
      <c r="K119" s="56"/>
      <c r="L119" s="57"/>
      <c r="M119" s="169"/>
      <c r="N119" s="170"/>
      <c r="O119" s="167"/>
      <c r="P119" s="168"/>
      <c r="Q119" s="165"/>
      <c r="R119" s="166"/>
      <c r="S119" s="167"/>
      <c r="T119" s="168"/>
      <c r="U119" s="165"/>
      <c r="V119" s="166"/>
      <c r="W119" s="167"/>
      <c r="X119" s="168"/>
      <c r="Y119" s="165"/>
      <c r="Z119" s="166"/>
      <c r="AA119" s="167"/>
      <c r="AB119" s="168"/>
      <c r="AC119" s="165"/>
      <c r="AD119" s="166"/>
      <c r="AE119" s="167"/>
      <c r="AF119" s="168"/>
      <c r="AG119" s="165"/>
      <c r="AH119" s="166"/>
      <c r="AI119" s="167"/>
      <c r="AJ119" s="168"/>
      <c r="AK119" s="165"/>
      <c r="AL119" s="166"/>
      <c r="AM119" s="167"/>
      <c r="AN119" s="168"/>
      <c r="AO119" s="165"/>
      <c r="AP119" s="166"/>
      <c r="AQ119" s="167"/>
      <c r="AR119" s="168"/>
      <c r="AS119" s="165"/>
      <c r="AT119" s="166"/>
      <c r="AU119" s="167"/>
      <c r="AV119" s="168"/>
      <c r="AW119" s="23"/>
      <c r="AX119" s="23"/>
      <c r="AY119" s="23"/>
    </row>
    <row r="120" spans="1:51" s="44" customFormat="1" ht="22" customHeight="1" x14ac:dyDescent="0.2">
      <c r="A120" s="41">
        <f>'ALS 10 BAZAR'!A120</f>
        <v>0</v>
      </c>
      <c r="B120" s="165" t="str">
        <f>'ALS 10 BAZAR'!B120:E120</f>
        <v>JOGO DA VELHA UNI</v>
      </c>
      <c r="C120" s="182"/>
      <c r="D120" s="182"/>
      <c r="E120" s="166"/>
      <c r="F120" s="42">
        <f>'ALS 10 BAZAR'!F120</f>
        <v>6</v>
      </c>
      <c r="G120" s="43">
        <f>'ALS 10 BAZAR'!G120</f>
        <v>0</v>
      </c>
      <c r="H120" s="39">
        <f t="shared" si="0"/>
        <v>0</v>
      </c>
      <c r="I120" s="39"/>
      <c r="J120" s="47"/>
      <c r="K120" s="56"/>
      <c r="L120" s="57"/>
      <c r="M120" s="169"/>
      <c r="N120" s="170"/>
      <c r="O120" s="167"/>
      <c r="P120" s="168"/>
      <c r="Q120" s="165"/>
      <c r="R120" s="166"/>
      <c r="S120" s="167"/>
      <c r="T120" s="168"/>
      <c r="U120" s="165"/>
      <c r="V120" s="166"/>
      <c r="W120" s="167"/>
      <c r="X120" s="168"/>
      <c r="Y120" s="165"/>
      <c r="Z120" s="166"/>
      <c r="AA120" s="167"/>
      <c r="AB120" s="168"/>
      <c r="AC120" s="165"/>
      <c r="AD120" s="166"/>
      <c r="AE120" s="167"/>
      <c r="AF120" s="168"/>
      <c r="AG120" s="165"/>
      <c r="AH120" s="166"/>
      <c r="AI120" s="167"/>
      <c r="AJ120" s="168"/>
      <c r="AK120" s="165"/>
      <c r="AL120" s="166"/>
      <c r="AM120" s="167"/>
      <c r="AN120" s="168"/>
      <c r="AO120" s="165"/>
      <c r="AP120" s="166"/>
      <c r="AQ120" s="167"/>
      <c r="AR120" s="168"/>
      <c r="AS120" s="165"/>
      <c r="AT120" s="166"/>
      <c r="AU120" s="167"/>
      <c r="AV120" s="168"/>
      <c r="AW120" s="23"/>
      <c r="AX120" s="23"/>
      <c r="AY120" s="23"/>
    </row>
    <row r="121" spans="1:51" s="44" customFormat="1" ht="22" customHeight="1" x14ac:dyDescent="0.2">
      <c r="A121" s="41">
        <f>'ALS 10 BAZAR'!A121</f>
        <v>0</v>
      </c>
      <c r="B121" s="165" t="str">
        <f>'ALS 10 BAZAR'!B121:E121</f>
        <v>JOGO DA VELHA DINO</v>
      </c>
      <c r="C121" s="182"/>
      <c r="D121" s="182"/>
      <c r="E121" s="166"/>
      <c r="F121" s="42">
        <f>'ALS 10 BAZAR'!F121</f>
        <v>6</v>
      </c>
      <c r="G121" s="43">
        <f>'ALS 10 BAZAR'!G121</f>
        <v>0</v>
      </c>
      <c r="H121" s="39">
        <f t="shared" si="0"/>
        <v>0</v>
      </c>
      <c r="I121" s="39"/>
      <c r="J121" s="47"/>
      <c r="K121" s="56"/>
      <c r="L121" s="57"/>
      <c r="M121" s="169"/>
      <c r="N121" s="170"/>
      <c r="O121" s="167"/>
      <c r="P121" s="168"/>
      <c r="Q121" s="165"/>
      <c r="R121" s="166"/>
      <c r="S121" s="167"/>
      <c r="T121" s="168"/>
      <c r="U121" s="165"/>
      <c r="V121" s="166"/>
      <c r="W121" s="167"/>
      <c r="X121" s="168"/>
      <c r="Y121" s="165"/>
      <c r="Z121" s="166"/>
      <c r="AA121" s="167"/>
      <c r="AB121" s="168"/>
      <c r="AC121" s="165"/>
      <c r="AD121" s="166"/>
      <c r="AE121" s="167"/>
      <c r="AF121" s="168"/>
      <c r="AG121" s="165"/>
      <c r="AH121" s="166"/>
      <c r="AI121" s="167"/>
      <c r="AJ121" s="168"/>
      <c r="AK121" s="165"/>
      <c r="AL121" s="166"/>
      <c r="AM121" s="167"/>
      <c r="AN121" s="168"/>
      <c r="AO121" s="165"/>
      <c r="AP121" s="166"/>
      <c r="AQ121" s="167"/>
      <c r="AR121" s="168"/>
      <c r="AS121" s="165"/>
      <c r="AT121" s="166"/>
      <c r="AU121" s="167"/>
      <c r="AV121" s="168"/>
      <c r="AW121" s="23"/>
      <c r="AX121" s="23"/>
      <c r="AY121" s="23"/>
    </row>
    <row r="122" spans="1:51" s="44" customFormat="1" ht="22" customHeight="1" x14ac:dyDescent="0.2">
      <c r="A122" s="41">
        <f>'ALS 10 BAZAR'!A122</f>
        <v>0</v>
      </c>
      <c r="B122" s="165" t="str">
        <f>'ALS 10 BAZAR'!B122:E122</f>
        <v>BANDEJA COM 1 VELA PERFUMADA BRASIL</v>
      </c>
      <c r="C122" s="182"/>
      <c r="D122" s="182"/>
      <c r="E122" s="166"/>
      <c r="F122" s="42">
        <f>'ALS 10 BAZAR'!F122</f>
        <v>6</v>
      </c>
      <c r="G122" s="43">
        <f>'ALS 10 BAZAR'!G122</f>
        <v>0</v>
      </c>
      <c r="H122" s="39">
        <f t="shared" si="0"/>
        <v>0</v>
      </c>
      <c r="I122" s="39"/>
      <c r="J122" s="47"/>
      <c r="K122" s="56"/>
      <c r="L122" s="57"/>
      <c r="M122" s="169"/>
      <c r="N122" s="170"/>
      <c r="O122" s="167"/>
      <c r="P122" s="168"/>
      <c r="Q122" s="165"/>
      <c r="R122" s="166"/>
      <c r="S122" s="167"/>
      <c r="T122" s="168"/>
      <c r="U122" s="165"/>
      <c r="V122" s="166"/>
      <c r="W122" s="167"/>
      <c r="X122" s="168"/>
      <c r="Y122" s="165"/>
      <c r="Z122" s="166"/>
      <c r="AA122" s="167"/>
      <c r="AB122" s="168"/>
      <c r="AC122" s="165"/>
      <c r="AD122" s="166"/>
      <c r="AE122" s="167"/>
      <c r="AF122" s="168"/>
      <c r="AG122" s="165"/>
      <c r="AH122" s="166"/>
      <c r="AI122" s="167"/>
      <c r="AJ122" s="168"/>
      <c r="AK122" s="165"/>
      <c r="AL122" s="166"/>
      <c r="AM122" s="167"/>
      <c r="AN122" s="168"/>
      <c r="AO122" s="165"/>
      <c r="AP122" s="166"/>
      <c r="AQ122" s="167"/>
      <c r="AR122" s="168"/>
      <c r="AS122" s="165"/>
      <c r="AT122" s="166"/>
      <c r="AU122" s="167"/>
      <c r="AV122" s="168"/>
      <c r="AW122" s="23"/>
      <c r="AX122" s="23"/>
      <c r="AY122" s="23"/>
    </row>
    <row r="123" spans="1:51" s="44" customFormat="1" ht="22" customHeight="1" x14ac:dyDescent="0.2">
      <c r="A123" s="41">
        <f>'ALS 10 BAZAR'!A123</f>
        <v>0</v>
      </c>
      <c r="B123" s="165">
        <f>'ALS 10 BAZAR'!B123:E123</f>
        <v>0</v>
      </c>
      <c r="C123" s="182"/>
      <c r="D123" s="182"/>
      <c r="E123" s="166"/>
      <c r="F123" s="42">
        <f>'ALS 10 BAZAR'!F123</f>
        <v>6</v>
      </c>
      <c r="G123" s="43">
        <f>'ALS 10 BAZAR'!G123</f>
        <v>0</v>
      </c>
      <c r="H123" s="39">
        <f t="shared" si="0"/>
        <v>0</v>
      </c>
      <c r="I123" s="39"/>
      <c r="J123" s="47"/>
      <c r="K123" s="56"/>
      <c r="L123" s="57"/>
      <c r="M123" s="169"/>
      <c r="N123" s="170"/>
      <c r="O123" s="167"/>
      <c r="P123" s="168"/>
      <c r="Q123" s="165"/>
      <c r="R123" s="166"/>
      <c r="S123" s="167"/>
      <c r="T123" s="168"/>
      <c r="U123" s="165"/>
      <c r="V123" s="166"/>
      <c r="W123" s="167"/>
      <c r="X123" s="168"/>
      <c r="Y123" s="165"/>
      <c r="Z123" s="166"/>
      <c r="AA123" s="167"/>
      <c r="AB123" s="168"/>
      <c r="AC123" s="165"/>
      <c r="AD123" s="166"/>
      <c r="AE123" s="167"/>
      <c r="AF123" s="168"/>
      <c r="AG123" s="165"/>
      <c r="AH123" s="166"/>
      <c r="AI123" s="167"/>
      <c r="AJ123" s="168"/>
      <c r="AK123" s="165"/>
      <c r="AL123" s="166"/>
      <c r="AM123" s="167"/>
      <c r="AN123" s="168"/>
      <c r="AO123" s="165"/>
      <c r="AP123" s="166"/>
      <c r="AQ123" s="167"/>
      <c r="AR123" s="168"/>
      <c r="AS123" s="165"/>
      <c r="AT123" s="166"/>
      <c r="AU123" s="167"/>
      <c r="AV123" s="168"/>
      <c r="AW123" s="23"/>
      <c r="AX123" s="23"/>
      <c r="AY123" s="23"/>
    </row>
    <row r="124" spans="1:51" s="44" customFormat="1" ht="22" customHeight="1" x14ac:dyDescent="0.2">
      <c r="A124" s="41">
        <f>'ALS 10 BAZAR'!A124</f>
        <v>0</v>
      </c>
      <c r="B124" s="165" t="str">
        <f>'ALS 10 BAZAR'!B124:E124</f>
        <v>PORTA VELA AROMATICA CORACAO</v>
      </c>
      <c r="C124" s="182"/>
      <c r="D124" s="182"/>
      <c r="E124" s="166"/>
      <c r="F124" s="42">
        <f>'ALS 10 BAZAR'!F124</f>
        <v>6</v>
      </c>
      <c r="G124" s="43">
        <f>'ALS 10 BAZAR'!G124</f>
        <v>0</v>
      </c>
      <c r="H124" s="39">
        <f t="shared" si="0"/>
        <v>0</v>
      </c>
      <c r="I124" s="39"/>
      <c r="J124" s="47"/>
      <c r="K124" s="56"/>
      <c r="L124" s="57"/>
      <c r="M124" s="169"/>
      <c r="N124" s="170"/>
      <c r="O124" s="167"/>
      <c r="P124" s="168"/>
      <c r="Q124" s="165"/>
      <c r="R124" s="166"/>
      <c r="S124" s="167"/>
      <c r="T124" s="168"/>
      <c r="U124" s="165"/>
      <c r="V124" s="166"/>
      <c r="W124" s="167"/>
      <c r="X124" s="168"/>
      <c r="Y124" s="165"/>
      <c r="Z124" s="166"/>
      <c r="AA124" s="167"/>
      <c r="AB124" s="168"/>
      <c r="AC124" s="165"/>
      <c r="AD124" s="166"/>
      <c r="AE124" s="167"/>
      <c r="AF124" s="168"/>
      <c r="AG124" s="165"/>
      <c r="AH124" s="166"/>
      <c r="AI124" s="167"/>
      <c r="AJ124" s="168"/>
      <c r="AK124" s="165"/>
      <c r="AL124" s="166"/>
      <c r="AM124" s="167"/>
      <c r="AN124" s="168"/>
      <c r="AO124" s="165"/>
      <c r="AP124" s="166"/>
      <c r="AQ124" s="167"/>
      <c r="AR124" s="168"/>
      <c r="AS124" s="165"/>
      <c r="AT124" s="166"/>
      <c r="AU124" s="167"/>
      <c r="AV124" s="168"/>
      <c r="AW124" s="23"/>
      <c r="AX124" s="23"/>
      <c r="AY124" s="23"/>
    </row>
    <row r="125" spans="1:51" s="44" customFormat="1" ht="22" customHeight="1" x14ac:dyDescent="0.2">
      <c r="A125" s="41">
        <f>'ALS 10 BAZAR'!A125</f>
        <v>0</v>
      </c>
      <c r="B125" s="165" t="str">
        <f>'ALS 10 BAZAR'!B125:E125</f>
        <v>LOUSA DINO E AMIGOS</v>
      </c>
      <c r="C125" s="182"/>
      <c r="D125" s="182"/>
      <c r="E125" s="166"/>
      <c r="F125" s="42">
        <f>'ALS 10 BAZAR'!F125</f>
        <v>6</v>
      </c>
      <c r="G125" s="43">
        <f>'ALS 10 BAZAR'!G125</f>
        <v>0</v>
      </c>
      <c r="H125" s="39">
        <f t="shared" si="0"/>
        <v>0</v>
      </c>
      <c r="I125" s="39"/>
      <c r="J125" s="47"/>
      <c r="K125" s="56"/>
      <c r="L125" s="57"/>
      <c r="M125" s="169"/>
      <c r="N125" s="170"/>
      <c r="O125" s="167"/>
      <c r="P125" s="168"/>
      <c r="Q125" s="165"/>
      <c r="R125" s="166"/>
      <c r="S125" s="167"/>
      <c r="T125" s="168"/>
      <c r="U125" s="165"/>
      <c r="V125" s="166"/>
      <c r="W125" s="167"/>
      <c r="X125" s="168"/>
      <c r="Y125" s="165"/>
      <c r="Z125" s="166"/>
      <c r="AA125" s="167"/>
      <c r="AB125" s="168"/>
      <c r="AC125" s="165"/>
      <c r="AD125" s="166"/>
      <c r="AE125" s="167"/>
      <c r="AF125" s="168"/>
      <c r="AG125" s="165"/>
      <c r="AH125" s="166"/>
      <c r="AI125" s="167"/>
      <c r="AJ125" s="168"/>
      <c r="AK125" s="165"/>
      <c r="AL125" s="166"/>
      <c r="AM125" s="167"/>
      <c r="AN125" s="168"/>
      <c r="AO125" s="165"/>
      <c r="AP125" s="166"/>
      <c r="AQ125" s="167"/>
      <c r="AR125" s="168"/>
      <c r="AS125" s="165"/>
      <c r="AT125" s="166"/>
      <c r="AU125" s="167"/>
      <c r="AV125" s="168"/>
      <c r="AW125" s="23"/>
      <c r="AX125" s="23"/>
      <c r="AY125" s="23"/>
    </row>
    <row r="126" spans="1:51" s="44" customFormat="1" ht="22" customHeight="1" x14ac:dyDescent="0.2">
      <c r="A126" s="41">
        <f>'ALS 10 BAZAR'!A126</f>
        <v>0</v>
      </c>
      <c r="B126" s="165" t="str">
        <f>'ALS 10 BAZAR'!B126:E126</f>
        <v>PLACA DECORATIVA CHURRASCO</v>
      </c>
      <c r="C126" s="182"/>
      <c r="D126" s="182"/>
      <c r="E126" s="166"/>
      <c r="F126" s="42">
        <f>'ALS 10 BAZAR'!F126</f>
        <v>6</v>
      </c>
      <c r="G126" s="43">
        <f>'ALS 10 BAZAR'!G126</f>
        <v>0</v>
      </c>
      <c r="H126" s="39">
        <f t="shared" si="0"/>
        <v>0</v>
      </c>
      <c r="I126" s="39"/>
      <c r="J126" s="47"/>
      <c r="K126" s="56"/>
      <c r="L126" s="57"/>
      <c r="M126" s="169"/>
      <c r="N126" s="170"/>
      <c r="O126" s="167"/>
      <c r="P126" s="168"/>
      <c r="Q126" s="165"/>
      <c r="R126" s="166"/>
      <c r="S126" s="167"/>
      <c r="T126" s="168"/>
      <c r="U126" s="165"/>
      <c r="V126" s="166"/>
      <c r="W126" s="167"/>
      <c r="X126" s="168"/>
      <c r="Y126" s="165"/>
      <c r="Z126" s="166"/>
      <c r="AA126" s="167"/>
      <c r="AB126" s="168"/>
      <c r="AC126" s="165"/>
      <c r="AD126" s="166"/>
      <c r="AE126" s="167"/>
      <c r="AF126" s="168"/>
      <c r="AG126" s="165"/>
      <c r="AH126" s="166"/>
      <c r="AI126" s="167"/>
      <c r="AJ126" s="168"/>
      <c r="AK126" s="165"/>
      <c r="AL126" s="166"/>
      <c r="AM126" s="167"/>
      <c r="AN126" s="168"/>
      <c r="AO126" s="165"/>
      <c r="AP126" s="166"/>
      <c r="AQ126" s="167"/>
      <c r="AR126" s="168"/>
      <c r="AS126" s="165"/>
      <c r="AT126" s="166"/>
      <c r="AU126" s="167"/>
      <c r="AV126" s="168"/>
      <c r="AW126" s="23"/>
      <c r="AX126" s="23"/>
      <c r="AY126" s="23"/>
    </row>
    <row r="127" spans="1:51" s="44" customFormat="1" ht="22" customHeight="1" x14ac:dyDescent="0.2">
      <c r="A127" s="41">
        <f>'ALS 10 BAZAR'!A127</f>
        <v>0</v>
      </c>
      <c r="B127" s="165" t="str">
        <f>'ALS 10 BAZAR'!B127:E127</f>
        <v>PLACA DECORATIVA ASSADOR</v>
      </c>
      <c r="C127" s="182"/>
      <c r="D127" s="182"/>
      <c r="E127" s="166"/>
      <c r="F127" s="42">
        <f>'ALS 10 BAZAR'!F127</f>
        <v>6</v>
      </c>
      <c r="G127" s="43">
        <f>'ALS 10 BAZAR'!G127</f>
        <v>0</v>
      </c>
      <c r="H127" s="39">
        <f t="shared" ref="H127:H171" si="1">F127*G127</f>
        <v>0</v>
      </c>
      <c r="I127" s="39"/>
      <c r="J127" s="47"/>
      <c r="K127" s="56"/>
      <c r="L127" s="57"/>
      <c r="M127" s="169"/>
      <c r="N127" s="170"/>
      <c r="O127" s="167"/>
      <c r="P127" s="168"/>
      <c r="Q127" s="165"/>
      <c r="R127" s="166"/>
      <c r="S127" s="167"/>
      <c r="T127" s="168"/>
      <c r="U127" s="165"/>
      <c r="V127" s="166"/>
      <c r="W127" s="167"/>
      <c r="X127" s="168"/>
      <c r="Y127" s="165"/>
      <c r="Z127" s="166"/>
      <c r="AA127" s="167"/>
      <c r="AB127" s="168"/>
      <c r="AC127" s="165"/>
      <c r="AD127" s="166"/>
      <c r="AE127" s="167"/>
      <c r="AF127" s="168"/>
      <c r="AG127" s="165"/>
      <c r="AH127" s="166"/>
      <c r="AI127" s="167"/>
      <c r="AJ127" s="168"/>
      <c r="AK127" s="165"/>
      <c r="AL127" s="166"/>
      <c r="AM127" s="167"/>
      <c r="AN127" s="168"/>
      <c r="AO127" s="165"/>
      <c r="AP127" s="166"/>
      <c r="AQ127" s="167"/>
      <c r="AR127" s="168"/>
      <c r="AS127" s="165"/>
      <c r="AT127" s="166"/>
      <c r="AU127" s="167"/>
      <c r="AV127" s="168"/>
      <c r="AW127" s="23"/>
      <c r="AX127" s="23"/>
      <c r="AY127" s="23"/>
    </row>
    <row r="128" spans="1:51" s="44" customFormat="1" ht="22" customHeight="1" x14ac:dyDescent="0.2">
      <c r="A128" s="41">
        <f>'ALS 10 BAZAR'!A128</f>
        <v>689</v>
      </c>
      <c r="B128" s="165" t="str">
        <f>'ALS 10 BAZAR'!B128:E128</f>
        <v xml:space="preserve">PROMESSAS DE DEUS </v>
      </c>
      <c r="C128" s="182"/>
      <c r="D128" s="182"/>
      <c r="E128" s="166"/>
      <c r="F128" s="42">
        <f>'ALS 10 BAZAR'!F128</f>
        <v>6</v>
      </c>
      <c r="G128" s="43">
        <f>'ALS 10 BAZAR'!G128</f>
        <v>80</v>
      </c>
      <c r="H128" s="39">
        <f t="shared" si="1"/>
        <v>480</v>
      </c>
      <c r="I128" s="39"/>
      <c r="J128" s="47"/>
      <c r="K128" s="56"/>
      <c r="L128" s="57"/>
      <c r="M128" s="169"/>
      <c r="N128" s="170"/>
      <c r="O128" s="167"/>
      <c r="P128" s="168"/>
      <c r="Q128" s="165"/>
      <c r="R128" s="166"/>
      <c r="S128" s="167"/>
      <c r="T128" s="168"/>
      <c r="U128" s="165"/>
      <c r="V128" s="166"/>
      <c r="W128" s="167"/>
      <c r="X128" s="168"/>
      <c r="Y128" s="165"/>
      <c r="Z128" s="166"/>
      <c r="AA128" s="167"/>
      <c r="AB128" s="168"/>
      <c r="AC128" s="165"/>
      <c r="AD128" s="166"/>
      <c r="AE128" s="167"/>
      <c r="AF128" s="168"/>
      <c r="AG128" s="165"/>
      <c r="AH128" s="166"/>
      <c r="AI128" s="167"/>
      <c r="AJ128" s="168"/>
      <c r="AK128" s="165"/>
      <c r="AL128" s="166"/>
      <c r="AM128" s="167"/>
      <c r="AN128" s="168"/>
      <c r="AO128" s="165"/>
      <c r="AP128" s="166"/>
      <c r="AQ128" s="167"/>
      <c r="AR128" s="168"/>
      <c r="AS128" s="165"/>
      <c r="AT128" s="166"/>
      <c r="AU128" s="167"/>
      <c r="AV128" s="168"/>
      <c r="AW128" s="23"/>
      <c r="AX128" s="23"/>
      <c r="AY128" s="23"/>
    </row>
    <row r="129" spans="1:51" s="44" customFormat="1" ht="22" customHeight="1" x14ac:dyDescent="0.2">
      <c r="A129" s="41">
        <f>'ALS 10 BAZAR'!A129</f>
        <v>0</v>
      </c>
      <c r="B129" s="165">
        <f>'ALS 10 BAZAR'!B129:E129</f>
        <v>0</v>
      </c>
      <c r="C129" s="182"/>
      <c r="D129" s="182"/>
      <c r="E129" s="166"/>
      <c r="F129" s="42">
        <f>'ALS 10 BAZAR'!F129</f>
        <v>6</v>
      </c>
      <c r="G129" s="43">
        <f>'ALS 10 BAZAR'!G129</f>
        <v>0</v>
      </c>
      <c r="H129" s="39">
        <f t="shared" si="1"/>
        <v>0</v>
      </c>
      <c r="I129" s="39"/>
      <c r="J129" s="47"/>
      <c r="K129" s="56"/>
      <c r="L129" s="57"/>
      <c r="M129" s="169"/>
      <c r="N129" s="170"/>
      <c r="O129" s="167"/>
      <c r="P129" s="168"/>
      <c r="Q129" s="165"/>
      <c r="R129" s="166"/>
      <c r="S129" s="167"/>
      <c r="T129" s="168"/>
      <c r="U129" s="165"/>
      <c r="V129" s="166"/>
      <c r="W129" s="167"/>
      <c r="X129" s="168"/>
      <c r="Y129" s="165"/>
      <c r="Z129" s="166"/>
      <c r="AA129" s="167"/>
      <c r="AB129" s="168"/>
      <c r="AC129" s="165"/>
      <c r="AD129" s="166"/>
      <c r="AE129" s="167"/>
      <c r="AF129" s="168"/>
      <c r="AG129" s="165"/>
      <c r="AH129" s="166"/>
      <c r="AI129" s="167"/>
      <c r="AJ129" s="168"/>
      <c r="AK129" s="165"/>
      <c r="AL129" s="166"/>
      <c r="AM129" s="167"/>
      <c r="AN129" s="168"/>
      <c r="AO129" s="165"/>
      <c r="AP129" s="166"/>
      <c r="AQ129" s="167"/>
      <c r="AR129" s="168"/>
      <c r="AS129" s="165"/>
      <c r="AT129" s="166"/>
      <c r="AU129" s="167"/>
      <c r="AV129" s="168"/>
      <c r="AW129" s="23"/>
      <c r="AX129" s="23"/>
      <c r="AY129" s="23"/>
    </row>
    <row r="130" spans="1:51" s="44" customFormat="1" ht="22" customHeight="1" x14ac:dyDescent="0.2">
      <c r="A130" s="41">
        <f>'ALS 10 BAZAR'!A130</f>
        <v>0</v>
      </c>
      <c r="B130" s="165" t="str">
        <f>'ALS 10 BAZAR'!B130:E130</f>
        <v>ROLETA SHOT ( SEM COMPO )</v>
      </c>
      <c r="C130" s="182"/>
      <c r="D130" s="182"/>
      <c r="E130" s="166"/>
      <c r="F130" s="42">
        <f>'ALS 10 BAZAR'!F130</f>
        <v>6</v>
      </c>
      <c r="G130" s="43">
        <f>'ALS 10 BAZAR'!G130</f>
        <v>0</v>
      </c>
      <c r="H130" s="39">
        <f t="shared" si="1"/>
        <v>0</v>
      </c>
      <c r="I130" s="39"/>
      <c r="J130" s="47"/>
      <c r="K130" s="56"/>
      <c r="L130" s="57"/>
      <c r="M130" s="169"/>
      <c r="N130" s="170"/>
      <c r="O130" s="167"/>
      <c r="P130" s="168"/>
      <c r="Q130" s="165"/>
      <c r="R130" s="166"/>
      <c r="S130" s="167"/>
      <c r="T130" s="168"/>
      <c r="U130" s="165"/>
      <c r="V130" s="166"/>
      <c r="W130" s="167"/>
      <c r="X130" s="168"/>
      <c r="Y130" s="165"/>
      <c r="Z130" s="166"/>
      <c r="AA130" s="167"/>
      <c r="AB130" s="168"/>
      <c r="AC130" s="165"/>
      <c r="AD130" s="166"/>
      <c r="AE130" s="167"/>
      <c r="AF130" s="168"/>
      <c r="AG130" s="165"/>
      <c r="AH130" s="166"/>
      <c r="AI130" s="167"/>
      <c r="AJ130" s="168"/>
      <c r="AK130" s="165"/>
      <c r="AL130" s="166"/>
      <c r="AM130" s="167"/>
      <c r="AN130" s="168"/>
      <c r="AO130" s="165"/>
      <c r="AP130" s="166"/>
      <c r="AQ130" s="167"/>
      <c r="AR130" s="168"/>
      <c r="AS130" s="165"/>
      <c r="AT130" s="166"/>
      <c r="AU130" s="167"/>
      <c r="AV130" s="168"/>
      <c r="AW130" s="23"/>
      <c r="AX130" s="23"/>
      <c r="AY130" s="23"/>
    </row>
    <row r="131" spans="1:51" s="44" customFormat="1" ht="22" customHeight="1" x14ac:dyDescent="0.2">
      <c r="A131" s="41">
        <f>'ALS 10 BAZAR'!A131</f>
        <v>0</v>
      </c>
      <c r="B131" s="165">
        <f>'ALS 10 BAZAR'!B131:E131</f>
        <v>0</v>
      </c>
      <c r="C131" s="182"/>
      <c r="D131" s="182"/>
      <c r="E131" s="166"/>
      <c r="F131" s="42">
        <f>'ALS 10 BAZAR'!F131</f>
        <v>6</v>
      </c>
      <c r="G131" s="43">
        <f>'ALS 10 BAZAR'!G131</f>
        <v>0</v>
      </c>
      <c r="H131" s="39">
        <f t="shared" si="1"/>
        <v>0</v>
      </c>
      <c r="I131" s="39"/>
      <c r="J131" s="47"/>
      <c r="K131" s="56"/>
      <c r="L131" s="57"/>
      <c r="M131" s="169"/>
      <c r="N131" s="170"/>
      <c r="O131" s="167"/>
      <c r="P131" s="168"/>
      <c r="Q131" s="165"/>
      <c r="R131" s="166"/>
      <c r="S131" s="167"/>
      <c r="T131" s="168"/>
      <c r="U131" s="165"/>
      <c r="V131" s="166"/>
      <c r="W131" s="167"/>
      <c r="X131" s="168"/>
      <c r="Y131" s="165"/>
      <c r="Z131" s="166"/>
      <c r="AA131" s="167"/>
      <c r="AB131" s="168"/>
      <c r="AC131" s="165"/>
      <c r="AD131" s="166"/>
      <c r="AE131" s="167"/>
      <c r="AF131" s="168"/>
      <c r="AG131" s="165"/>
      <c r="AH131" s="166"/>
      <c r="AI131" s="167"/>
      <c r="AJ131" s="168"/>
      <c r="AK131" s="165"/>
      <c r="AL131" s="166"/>
      <c r="AM131" s="167"/>
      <c r="AN131" s="168"/>
      <c r="AO131" s="165"/>
      <c r="AP131" s="166"/>
      <c r="AQ131" s="167"/>
      <c r="AR131" s="168"/>
      <c r="AS131" s="165"/>
      <c r="AT131" s="166"/>
      <c r="AU131" s="167"/>
      <c r="AV131" s="168"/>
      <c r="AW131" s="23"/>
      <c r="AX131" s="23"/>
      <c r="AY131" s="23"/>
    </row>
    <row r="132" spans="1:51" s="44" customFormat="1" ht="22" customHeight="1" x14ac:dyDescent="0.2">
      <c r="A132" s="41">
        <f>'ALS 10 BAZAR'!A132</f>
        <v>0</v>
      </c>
      <c r="B132" s="165" t="str">
        <f>'ALS 10 BAZAR'!B132:E132</f>
        <v>QUADRO LOUSA STICH</v>
      </c>
      <c r="C132" s="182"/>
      <c r="D132" s="182"/>
      <c r="E132" s="166"/>
      <c r="F132" s="42">
        <f>'ALS 10 BAZAR'!F132</f>
        <v>6</v>
      </c>
      <c r="G132" s="43">
        <f>'ALS 10 BAZAR'!G132</f>
        <v>0</v>
      </c>
      <c r="H132" s="39">
        <f t="shared" si="1"/>
        <v>0</v>
      </c>
      <c r="I132" s="39"/>
      <c r="J132" s="47"/>
      <c r="K132" s="56"/>
      <c r="L132" s="57"/>
      <c r="M132" s="169"/>
      <c r="N132" s="170"/>
      <c r="O132" s="167"/>
      <c r="P132" s="168"/>
      <c r="Q132" s="165"/>
      <c r="R132" s="166"/>
      <c r="S132" s="167"/>
      <c r="T132" s="168"/>
      <c r="U132" s="165"/>
      <c r="V132" s="166"/>
      <c r="W132" s="167"/>
      <c r="X132" s="168"/>
      <c r="Y132" s="165"/>
      <c r="Z132" s="166"/>
      <c r="AA132" s="167"/>
      <c r="AB132" s="168"/>
      <c r="AC132" s="165"/>
      <c r="AD132" s="166"/>
      <c r="AE132" s="167"/>
      <c r="AF132" s="168"/>
      <c r="AG132" s="165"/>
      <c r="AH132" s="166"/>
      <c r="AI132" s="167"/>
      <c r="AJ132" s="168"/>
      <c r="AK132" s="165"/>
      <c r="AL132" s="166"/>
      <c r="AM132" s="167"/>
      <c r="AN132" s="168"/>
      <c r="AO132" s="165"/>
      <c r="AP132" s="166"/>
      <c r="AQ132" s="167"/>
      <c r="AR132" s="168"/>
      <c r="AS132" s="165"/>
      <c r="AT132" s="166"/>
      <c r="AU132" s="167"/>
      <c r="AV132" s="168"/>
      <c r="AW132" s="23"/>
      <c r="AX132" s="23"/>
      <c r="AY132" s="23"/>
    </row>
    <row r="133" spans="1:51" s="44" customFormat="1" ht="22" customHeight="1" x14ac:dyDescent="0.2">
      <c r="A133" s="41">
        <f>'ALS 10 BAZAR'!A133</f>
        <v>0</v>
      </c>
      <c r="B133" s="165" t="str">
        <f>'ALS 10 BAZAR'!B133:E133</f>
        <v>QUADRO LOUSA LABUBU</v>
      </c>
      <c r="C133" s="182"/>
      <c r="D133" s="182"/>
      <c r="E133" s="166"/>
      <c r="F133" s="42">
        <f>'ALS 10 BAZAR'!F133</f>
        <v>6</v>
      </c>
      <c r="G133" s="43">
        <f>'ALS 10 BAZAR'!G133</f>
        <v>0</v>
      </c>
      <c r="H133" s="39">
        <f t="shared" si="1"/>
        <v>0</v>
      </c>
      <c r="I133" s="39"/>
      <c r="J133" s="47"/>
      <c r="K133" s="56"/>
      <c r="L133" s="57"/>
      <c r="M133" s="169"/>
      <c r="N133" s="170"/>
      <c r="O133" s="167"/>
      <c r="P133" s="168"/>
      <c r="Q133" s="165"/>
      <c r="R133" s="166"/>
      <c r="S133" s="167"/>
      <c r="T133" s="168"/>
      <c r="U133" s="165"/>
      <c r="V133" s="166"/>
      <c r="W133" s="167"/>
      <c r="X133" s="168"/>
      <c r="Y133" s="165"/>
      <c r="Z133" s="166"/>
      <c r="AA133" s="167"/>
      <c r="AB133" s="168"/>
      <c r="AC133" s="165"/>
      <c r="AD133" s="166"/>
      <c r="AE133" s="167"/>
      <c r="AF133" s="168"/>
      <c r="AG133" s="165"/>
      <c r="AH133" s="166"/>
      <c r="AI133" s="167"/>
      <c r="AJ133" s="168"/>
      <c r="AK133" s="165"/>
      <c r="AL133" s="166"/>
      <c r="AM133" s="167"/>
      <c r="AN133" s="168"/>
      <c r="AO133" s="165"/>
      <c r="AP133" s="166"/>
      <c r="AQ133" s="167"/>
      <c r="AR133" s="168"/>
      <c r="AS133" s="165"/>
      <c r="AT133" s="166"/>
      <c r="AU133" s="167"/>
      <c r="AV133" s="168"/>
      <c r="AW133" s="23"/>
      <c r="AX133" s="23"/>
      <c r="AY133" s="23"/>
    </row>
    <row r="134" spans="1:51" s="44" customFormat="1" ht="22" customHeight="1" x14ac:dyDescent="0.2">
      <c r="A134" s="41">
        <f>'ALS 10 BAZAR'!A134</f>
        <v>0</v>
      </c>
      <c r="B134" s="165">
        <f>'ALS 10 BAZAR'!B134:E134</f>
        <v>0</v>
      </c>
      <c r="C134" s="182"/>
      <c r="D134" s="182"/>
      <c r="E134" s="166"/>
      <c r="F134" s="42">
        <f>'ALS 10 BAZAR'!F134</f>
        <v>0</v>
      </c>
      <c r="G134" s="43">
        <f>'ALS 10 BAZAR'!G134</f>
        <v>0</v>
      </c>
      <c r="H134" s="39">
        <f t="shared" si="1"/>
        <v>0</v>
      </c>
      <c r="I134" s="39"/>
      <c r="J134" s="47"/>
      <c r="K134" s="56"/>
      <c r="L134" s="57"/>
      <c r="M134" s="169"/>
      <c r="N134" s="170"/>
      <c r="O134" s="167"/>
      <c r="P134" s="168"/>
      <c r="Q134" s="165"/>
      <c r="R134" s="166"/>
      <c r="S134" s="167"/>
      <c r="T134" s="168"/>
      <c r="U134" s="165"/>
      <c r="V134" s="166"/>
      <c r="W134" s="167"/>
      <c r="X134" s="168"/>
      <c r="Y134" s="165"/>
      <c r="Z134" s="166"/>
      <c r="AA134" s="167"/>
      <c r="AB134" s="168"/>
      <c r="AC134" s="165"/>
      <c r="AD134" s="166"/>
      <c r="AE134" s="167"/>
      <c r="AF134" s="168"/>
      <c r="AG134" s="165"/>
      <c r="AH134" s="166"/>
      <c r="AI134" s="167"/>
      <c r="AJ134" s="168"/>
      <c r="AK134" s="165"/>
      <c r="AL134" s="166"/>
      <c r="AM134" s="167"/>
      <c r="AN134" s="168"/>
      <c r="AO134" s="165"/>
      <c r="AP134" s="166"/>
      <c r="AQ134" s="167"/>
      <c r="AR134" s="168"/>
      <c r="AS134" s="165"/>
      <c r="AT134" s="166"/>
      <c r="AU134" s="167"/>
      <c r="AV134" s="168"/>
      <c r="AW134" s="23"/>
      <c r="AX134" s="23"/>
      <c r="AY134" s="23"/>
    </row>
    <row r="135" spans="1:51" s="44" customFormat="1" ht="22" customHeight="1" x14ac:dyDescent="0.2">
      <c r="A135" s="41">
        <f>'ALS 10 BAZAR'!A135</f>
        <v>705</v>
      </c>
      <c r="B135" s="165" t="str">
        <f>'ALS 10 BAZAR'!B135:E135</f>
        <v>QUEBRA CABECA STICH</v>
      </c>
      <c r="C135" s="182"/>
      <c r="D135" s="182"/>
      <c r="E135" s="166"/>
      <c r="F135" s="42">
        <f>'ALS 10 BAZAR'!F135</f>
        <v>6</v>
      </c>
      <c r="G135" s="43">
        <f>'ALS 10 BAZAR'!G135</f>
        <v>0</v>
      </c>
      <c r="H135" s="39">
        <f t="shared" si="1"/>
        <v>0</v>
      </c>
      <c r="I135" s="39"/>
      <c r="J135" s="47"/>
      <c r="K135" s="56"/>
      <c r="L135" s="57"/>
      <c r="M135" s="169"/>
      <c r="N135" s="170"/>
      <c r="O135" s="167"/>
      <c r="P135" s="168"/>
      <c r="Q135" s="165"/>
      <c r="R135" s="166"/>
      <c r="S135" s="167"/>
      <c r="T135" s="168"/>
      <c r="U135" s="165"/>
      <c r="V135" s="166"/>
      <c r="W135" s="167"/>
      <c r="X135" s="168"/>
      <c r="Y135" s="165"/>
      <c r="Z135" s="166"/>
      <c r="AA135" s="167"/>
      <c r="AB135" s="168"/>
      <c r="AC135" s="165"/>
      <c r="AD135" s="166"/>
      <c r="AE135" s="167"/>
      <c r="AF135" s="168"/>
      <c r="AG135" s="165"/>
      <c r="AH135" s="166"/>
      <c r="AI135" s="167"/>
      <c r="AJ135" s="168"/>
      <c r="AK135" s="165"/>
      <c r="AL135" s="166"/>
      <c r="AM135" s="167"/>
      <c r="AN135" s="168"/>
      <c r="AO135" s="165"/>
      <c r="AP135" s="166"/>
      <c r="AQ135" s="167"/>
      <c r="AR135" s="168"/>
      <c r="AS135" s="165"/>
      <c r="AT135" s="166"/>
      <c r="AU135" s="167"/>
      <c r="AV135" s="168"/>
      <c r="AW135" s="23"/>
      <c r="AX135" s="23"/>
      <c r="AY135" s="23"/>
    </row>
    <row r="136" spans="1:51" s="44" customFormat="1" ht="22" customHeight="1" x14ac:dyDescent="0.2">
      <c r="A136" s="41">
        <f>'ALS 10 BAZAR'!A136</f>
        <v>706</v>
      </c>
      <c r="B136" s="165" t="str">
        <f>'ALS 10 BAZAR'!B136:E136</f>
        <v>QUEBRA CABECA STICH</v>
      </c>
      <c r="C136" s="182"/>
      <c r="D136" s="182"/>
      <c r="E136" s="166"/>
      <c r="F136" s="42">
        <f>'ALS 10 BAZAR'!F136</f>
        <v>6</v>
      </c>
      <c r="G136" s="43">
        <f>'ALS 10 BAZAR'!G136</f>
        <v>0</v>
      </c>
      <c r="H136" s="39">
        <f t="shared" si="1"/>
        <v>0</v>
      </c>
      <c r="I136" s="39"/>
      <c r="J136" s="47"/>
      <c r="K136" s="56"/>
      <c r="L136" s="57"/>
      <c r="M136" s="169"/>
      <c r="N136" s="170"/>
      <c r="O136" s="167"/>
      <c r="P136" s="168"/>
      <c r="Q136" s="165"/>
      <c r="R136" s="166"/>
      <c r="S136" s="167"/>
      <c r="T136" s="168"/>
      <c r="U136" s="165"/>
      <c r="V136" s="166"/>
      <c r="W136" s="167"/>
      <c r="X136" s="168"/>
      <c r="Y136" s="165"/>
      <c r="Z136" s="166"/>
      <c r="AA136" s="167"/>
      <c r="AB136" s="168"/>
      <c r="AC136" s="165"/>
      <c r="AD136" s="166"/>
      <c r="AE136" s="167"/>
      <c r="AF136" s="168"/>
      <c r="AG136" s="165"/>
      <c r="AH136" s="166"/>
      <c r="AI136" s="167"/>
      <c r="AJ136" s="168"/>
      <c r="AK136" s="165"/>
      <c r="AL136" s="166"/>
      <c r="AM136" s="167"/>
      <c r="AN136" s="168"/>
      <c r="AO136" s="165"/>
      <c r="AP136" s="166"/>
      <c r="AQ136" s="167"/>
      <c r="AR136" s="168"/>
      <c r="AS136" s="165"/>
      <c r="AT136" s="166"/>
      <c r="AU136" s="167"/>
      <c r="AV136" s="168"/>
      <c r="AW136" s="23"/>
      <c r="AX136" s="23"/>
      <c r="AY136" s="23"/>
    </row>
    <row r="137" spans="1:51" s="44" customFormat="1" ht="22" customHeight="1" x14ac:dyDescent="0.2">
      <c r="A137" s="41">
        <f>'ALS 10 BAZAR'!A137</f>
        <v>713</v>
      </c>
      <c r="B137" s="165" t="str">
        <f>'ALS 10 BAZAR'!B137:E137</f>
        <v>QUEBRA CABECA STICH</v>
      </c>
      <c r="C137" s="182"/>
      <c r="D137" s="182"/>
      <c r="E137" s="166"/>
      <c r="F137" s="42">
        <f>'ALS 10 BAZAR'!F137</f>
        <v>6</v>
      </c>
      <c r="G137" s="43">
        <f>'ALS 10 BAZAR'!G137</f>
        <v>0</v>
      </c>
      <c r="H137" s="39">
        <f t="shared" si="1"/>
        <v>0</v>
      </c>
      <c r="I137" s="39"/>
      <c r="J137" s="47"/>
      <c r="K137" s="56"/>
      <c r="L137" s="57"/>
      <c r="M137" s="169"/>
      <c r="N137" s="170"/>
      <c r="O137" s="167"/>
      <c r="P137" s="168"/>
      <c r="Q137" s="165"/>
      <c r="R137" s="166"/>
      <c r="S137" s="167"/>
      <c r="T137" s="168"/>
      <c r="U137" s="165"/>
      <c r="V137" s="166"/>
      <c r="W137" s="167"/>
      <c r="X137" s="168"/>
      <c r="Y137" s="165"/>
      <c r="Z137" s="166"/>
      <c r="AA137" s="167"/>
      <c r="AB137" s="168"/>
      <c r="AC137" s="165"/>
      <c r="AD137" s="166"/>
      <c r="AE137" s="167"/>
      <c r="AF137" s="168"/>
      <c r="AG137" s="165"/>
      <c r="AH137" s="166"/>
      <c r="AI137" s="167"/>
      <c r="AJ137" s="168"/>
      <c r="AK137" s="165"/>
      <c r="AL137" s="166"/>
      <c r="AM137" s="167"/>
      <c r="AN137" s="168"/>
      <c r="AO137" s="165"/>
      <c r="AP137" s="166"/>
      <c r="AQ137" s="167"/>
      <c r="AR137" s="168"/>
      <c r="AS137" s="165"/>
      <c r="AT137" s="166"/>
      <c r="AU137" s="167"/>
      <c r="AV137" s="168"/>
      <c r="AW137" s="23"/>
      <c r="AX137" s="23"/>
      <c r="AY137" s="23"/>
    </row>
    <row r="138" spans="1:51" s="44" customFormat="1" ht="22" customHeight="1" x14ac:dyDescent="0.2">
      <c r="A138" s="41">
        <f>'ALS 10 BAZAR'!A138</f>
        <v>708</v>
      </c>
      <c r="B138" s="165" t="str">
        <f>'ALS 10 BAZAR'!B138:E138</f>
        <v>QUEBRA CABECA STICH</v>
      </c>
      <c r="C138" s="182"/>
      <c r="D138" s="182"/>
      <c r="E138" s="166"/>
      <c r="F138" s="42">
        <f>'ALS 10 BAZAR'!F138</f>
        <v>6</v>
      </c>
      <c r="G138" s="43">
        <f>'ALS 10 BAZAR'!G138</f>
        <v>45</v>
      </c>
      <c r="H138" s="39">
        <f t="shared" si="1"/>
        <v>270</v>
      </c>
      <c r="I138" s="39"/>
      <c r="J138" s="47"/>
      <c r="K138" s="56"/>
      <c r="L138" s="57"/>
      <c r="M138" s="169"/>
      <c r="N138" s="170"/>
      <c r="O138" s="167"/>
      <c r="P138" s="168"/>
      <c r="Q138" s="165"/>
      <c r="R138" s="166"/>
      <c r="S138" s="167"/>
      <c r="T138" s="168"/>
      <c r="U138" s="165"/>
      <c r="V138" s="166"/>
      <c r="W138" s="167"/>
      <c r="X138" s="168"/>
      <c r="Y138" s="165"/>
      <c r="Z138" s="166"/>
      <c r="AA138" s="167"/>
      <c r="AB138" s="168"/>
      <c r="AC138" s="165"/>
      <c r="AD138" s="166"/>
      <c r="AE138" s="167"/>
      <c r="AF138" s="168"/>
      <c r="AG138" s="165"/>
      <c r="AH138" s="166"/>
      <c r="AI138" s="167"/>
      <c r="AJ138" s="168"/>
      <c r="AK138" s="165"/>
      <c r="AL138" s="166"/>
      <c r="AM138" s="167"/>
      <c r="AN138" s="168"/>
      <c r="AO138" s="165"/>
      <c r="AP138" s="166"/>
      <c r="AQ138" s="167"/>
      <c r="AR138" s="168"/>
      <c r="AS138" s="165"/>
      <c r="AT138" s="166"/>
      <c r="AU138" s="167"/>
      <c r="AV138" s="168"/>
      <c r="AW138" s="23"/>
      <c r="AX138" s="23"/>
      <c r="AY138" s="23"/>
    </row>
    <row r="139" spans="1:51" s="44" customFormat="1" ht="22" customHeight="1" x14ac:dyDescent="0.2">
      <c r="A139" s="41">
        <f>'ALS 10 BAZAR'!A139</f>
        <v>709</v>
      </c>
      <c r="B139" s="165" t="str">
        <f>'ALS 10 BAZAR'!B139:E139</f>
        <v>QUEBRA CABECA STICH</v>
      </c>
      <c r="C139" s="182"/>
      <c r="D139" s="182"/>
      <c r="E139" s="166"/>
      <c r="F139" s="42">
        <f>'ALS 10 BAZAR'!F139</f>
        <v>6</v>
      </c>
      <c r="G139" s="43">
        <f>'ALS 10 BAZAR'!G139</f>
        <v>45</v>
      </c>
      <c r="H139" s="39">
        <f t="shared" si="1"/>
        <v>270</v>
      </c>
      <c r="I139" s="39"/>
      <c r="J139" s="47"/>
      <c r="K139" s="49"/>
      <c r="L139" s="50"/>
      <c r="M139" s="169"/>
      <c r="N139" s="170"/>
      <c r="O139" s="167"/>
      <c r="P139" s="168"/>
      <c r="Q139" s="165"/>
      <c r="R139" s="166"/>
      <c r="S139" s="167"/>
      <c r="T139" s="168"/>
      <c r="U139" s="165"/>
      <c r="V139" s="166"/>
      <c r="W139" s="167"/>
      <c r="X139" s="168"/>
      <c r="Y139" s="165"/>
      <c r="Z139" s="166"/>
      <c r="AA139" s="167"/>
      <c r="AB139" s="168"/>
      <c r="AC139" s="165"/>
      <c r="AD139" s="166"/>
      <c r="AE139" s="167"/>
      <c r="AF139" s="168"/>
      <c r="AG139" s="165"/>
      <c r="AH139" s="166"/>
      <c r="AI139" s="167"/>
      <c r="AJ139" s="168"/>
      <c r="AK139" s="165"/>
      <c r="AL139" s="166"/>
      <c r="AM139" s="167"/>
      <c r="AN139" s="168"/>
      <c r="AO139" s="165"/>
      <c r="AP139" s="166"/>
      <c r="AQ139" s="167"/>
      <c r="AR139" s="168"/>
      <c r="AS139" s="165"/>
      <c r="AT139" s="166"/>
      <c r="AU139" s="167"/>
      <c r="AV139" s="168"/>
      <c r="AW139" s="23"/>
      <c r="AX139" s="23"/>
      <c r="AY139" s="23"/>
    </row>
    <row r="140" spans="1:51" s="44" customFormat="1" ht="22" customHeight="1" x14ac:dyDescent="0.2">
      <c r="A140" s="41">
        <f>'ALS 10 BAZAR'!A140</f>
        <v>714</v>
      </c>
      <c r="B140" s="165" t="str">
        <f>'ALS 10 BAZAR'!B140:E140</f>
        <v>QUEBRA CABECA STICH</v>
      </c>
      <c r="C140" s="182"/>
      <c r="D140" s="182"/>
      <c r="E140" s="166"/>
      <c r="F140" s="42">
        <f>'ALS 10 BAZAR'!F140</f>
        <v>6</v>
      </c>
      <c r="G140" s="43">
        <f>'ALS 10 BAZAR'!G140</f>
        <v>45</v>
      </c>
      <c r="H140" s="39">
        <f t="shared" si="1"/>
        <v>270</v>
      </c>
      <c r="I140" s="39"/>
      <c r="J140" s="47"/>
      <c r="K140" s="49"/>
      <c r="L140" s="50"/>
      <c r="M140" s="169"/>
      <c r="N140" s="170"/>
      <c r="O140" s="167"/>
      <c r="P140" s="168"/>
      <c r="Q140" s="165"/>
      <c r="R140" s="166"/>
      <c r="S140" s="167"/>
      <c r="T140" s="168"/>
      <c r="U140" s="165"/>
      <c r="V140" s="166"/>
      <c r="W140" s="167"/>
      <c r="X140" s="168"/>
      <c r="Y140" s="165"/>
      <c r="Z140" s="166"/>
      <c r="AA140" s="167"/>
      <c r="AB140" s="168"/>
      <c r="AC140" s="165"/>
      <c r="AD140" s="166"/>
      <c r="AE140" s="167"/>
      <c r="AF140" s="168"/>
      <c r="AG140" s="165"/>
      <c r="AH140" s="166"/>
      <c r="AI140" s="167"/>
      <c r="AJ140" s="168"/>
      <c r="AK140" s="165"/>
      <c r="AL140" s="166"/>
      <c r="AM140" s="167"/>
      <c r="AN140" s="168"/>
      <c r="AO140" s="165"/>
      <c r="AP140" s="166"/>
      <c r="AQ140" s="167"/>
      <c r="AR140" s="168"/>
      <c r="AS140" s="165"/>
      <c r="AT140" s="166"/>
      <c r="AU140" s="167"/>
      <c r="AV140" s="168"/>
      <c r="AW140" s="23"/>
      <c r="AX140" s="23"/>
      <c r="AY140" s="23"/>
    </row>
    <row r="141" spans="1:51" s="44" customFormat="1" ht="22" customHeight="1" x14ac:dyDescent="0.2">
      <c r="A141" s="41">
        <f>'ALS 10 BAZAR'!A141</f>
        <v>1864</v>
      </c>
      <c r="B141" s="165" t="str">
        <f>'ALS 10 BAZAR'!B141:E141</f>
        <v>ADICAO E SUBTRACAO</v>
      </c>
      <c r="C141" s="182"/>
      <c r="D141" s="182"/>
      <c r="E141" s="166"/>
      <c r="F141" s="42">
        <f>'ALS 10 BAZAR'!F141</f>
        <v>6</v>
      </c>
      <c r="G141" s="43">
        <f>'ALS 10 BAZAR'!G141</f>
        <v>30</v>
      </c>
      <c r="H141" s="39">
        <f t="shared" si="1"/>
        <v>180</v>
      </c>
      <c r="I141" s="39"/>
      <c r="J141" s="47"/>
      <c r="K141" s="49"/>
      <c r="L141" s="50"/>
      <c r="M141" s="169"/>
      <c r="N141" s="170"/>
      <c r="O141" s="167"/>
      <c r="P141" s="168"/>
      <c r="Q141" s="165"/>
      <c r="R141" s="166"/>
      <c r="S141" s="167"/>
      <c r="T141" s="168"/>
      <c r="U141" s="165"/>
      <c r="V141" s="166"/>
      <c r="W141" s="167"/>
      <c r="X141" s="168"/>
      <c r="Y141" s="165"/>
      <c r="Z141" s="166"/>
      <c r="AA141" s="167"/>
      <c r="AB141" s="168"/>
      <c r="AC141" s="165"/>
      <c r="AD141" s="166"/>
      <c r="AE141" s="167"/>
      <c r="AF141" s="168"/>
      <c r="AG141" s="165"/>
      <c r="AH141" s="166"/>
      <c r="AI141" s="167"/>
      <c r="AJ141" s="168"/>
      <c r="AK141" s="165"/>
      <c r="AL141" s="166"/>
      <c r="AM141" s="167"/>
      <c r="AN141" s="168"/>
      <c r="AO141" s="165"/>
      <c r="AP141" s="166"/>
      <c r="AQ141" s="167"/>
      <c r="AR141" s="168"/>
      <c r="AS141" s="165"/>
      <c r="AT141" s="166"/>
      <c r="AU141" s="167"/>
      <c r="AV141" s="168"/>
      <c r="AW141" s="23"/>
      <c r="AX141" s="23"/>
      <c r="AY141" s="23"/>
    </row>
    <row r="142" spans="1:51" s="44" customFormat="1" ht="22" customHeight="1" x14ac:dyDescent="0.2">
      <c r="A142" s="41">
        <f>'ALS 10 BAZAR'!A142</f>
        <v>2028</v>
      </c>
      <c r="B142" s="165" t="str">
        <f>'ALS 10 BAZAR'!B142:E142</f>
        <v>DESCOBRINDO OS NUMEROS</v>
      </c>
      <c r="C142" s="182"/>
      <c r="D142" s="182"/>
      <c r="E142" s="166"/>
      <c r="F142" s="42">
        <f>'ALS 10 BAZAR'!F142</f>
        <v>6</v>
      </c>
      <c r="G142" s="43">
        <f>'ALS 10 BAZAR'!G142</f>
        <v>30</v>
      </c>
      <c r="H142" s="39">
        <f t="shared" si="1"/>
        <v>180</v>
      </c>
      <c r="I142" s="39"/>
      <c r="J142" s="47"/>
      <c r="K142" s="49"/>
      <c r="L142" s="50"/>
      <c r="M142" s="169"/>
      <c r="N142" s="170"/>
      <c r="O142" s="167"/>
      <c r="P142" s="168"/>
      <c r="Q142" s="165"/>
      <c r="R142" s="166"/>
      <c r="S142" s="167"/>
      <c r="T142" s="168"/>
      <c r="U142" s="165"/>
      <c r="V142" s="166"/>
      <c r="W142" s="167"/>
      <c r="X142" s="168"/>
      <c r="Y142" s="165"/>
      <c r="Z142" s="166"/>
      <c r="AA142" s="167"/>
      <c r="AB142" s="168"/>
      <c r="AC142" s="165"/>
      <c r="AD142" s="166"/>
      <c r="AE142" s="167"/>
      <c r="AF142" s="168"/>
      <c r="AG142" s="165"/>
      <c r="AH142" s="166"/>
      <c r="AI142" s="167"/>
      <c r="AJ142" s="168"/>
      <c r="AK142" s="165"/>
      <c r="AL142" s="166"/>
      <c r="AM142" s="167"/>
      <c r="AN142" s="168"/>
      <c r="AO142" s="165"/>
      <c r="AP142" s="166"/>
      <c r="AQ142" s="167"/>
      <c r="AR142" s="168"/>
      <c r="AS142" s="165"/>
      <c r="AT142" s="166"/>
      <c r="AU142" s="167"/>
      <c r="AV142" s="168"/>
      <c r="AW142" s="23"/>
      <c r="AX142" s="23"/>
      <c r="AY142" s="23"/>
    </row>
    <row r="143" spans="1:51" s="44" customFormat="1" ht="22" customHeight="1" x14ac:dyDescent="0.2">
      <c r="A143" s="41">
        <f>'ALS 10 BAZAR'!A143</f>
        <v>2029</v>
      </c>
      <c r="B143" s="165" t="str">
        <f>'ALS 10 BAZAR'!B143:E143</f>
        <v>DESCOBRINDO AS LETRAS</v>
      </c>
      <c r="C143" s="182"/>
      <c r="D143" s="182"/>
      <c r="E143" s="166"/>
      <c r="F143" s="42">
        <f>'ALS 10 BAZAR'!F143</f>
        <v>6</v>
      </c>
      <c r="G143" s="43">
        <f>'ALS 10 BAZAR'!G143</f>
        <v>60</v>
      </c>
      <c r="H143" s="39">
        <f t="shared" si="1"/>
        <v>360</v>
      </c>
      <c r="I143" s="39"/>
      <c r="J143" s="47"/>
      <c r="K143" s="49"/>
      <c r="L143" s="50"/>
      <c r="M143" s="169"/>
      <c r="N143" s="170"/>
      <c r="O143" s="167"/>
      <c r="P143" s="168"/>
      <c r="Q143" s="165"/>
      <c r="R143" s="166"/>
      <c r="S143" s="167"/>
      <c r="T143" s="168"/>
      <c r="U143" s="165"/>
      <c r="V143" s="166"/>
      <c r="W143" s="167"/>
      <c r="X143" s="168"/>
      <c r="Y143" s="165"/>
      <c r="Z143" s="166"/>
      <c r="AA143" s="167"/>
      <c r="AB143" s="168"/>
      <c r="AC143" s="165"/>
      <c r="AD143" s="166"/>
      <c r="AE143" s="167"/>
      <c r="AF143" s="168"/>
      <c r="AG143" s="165"/>
      <c r="AH143" s="166"/>
      <c r="AI143" s="167"/>
      <c r="AJ143" s="168"/>
      <c r="AK143" s="165"/>
      <c r="AL143" s="166"/>
      <c r="AM143" s="167"/>
      <c r="AN143" s="168"/>
      <c r="AO143" s="165"/>
      <c r="AP143" s="166"/>
      <c r="AQ143" s="167"/>
      <c r="AR143" s="168"/>
      <c r="AS143" s="165"/>
      <c r="AT143" s="166"/>
      <c r="AU143" s="167"/>
      <c r="AV143" s="168"/>
      <c r="AW143" s="23"/>
      <c r="AX143" s="23"/>
      <c r="AY143" s="23"/>
    </row>
    <row r="144" spans="1:51" s="44" customFormat="1" ht="22" customHeight="1" x14ac:dyDescent="0.2">
      <c r="A144" s="41">
        <f>'ALS 10 BAZAR'!A144</f>
        <v>4030</v>
      </c>
      <c r="B144" s="165" t="str">
        <f>'ALS 10 BAZAR'!B144:E144</f>
        <v>TABULEIRO ELEFANTE E CACHORRO</v>
      </c>
      <c r="C144" s="182"/>
      <c r="D144" s="182"/>
      <c r="E144" s="166"/>
      <c r="F144" s="42">
        <f>'ALS 10 BAZAR'!F144</f>
        <v>12</v>
      </c>
      <c r="G144" s="43">
        <f>'ALS 10 BAZAR'!G144</f>
        <v>30</v>
      </c>
      <c r="H144" s="39">
        <f t="shared" si="1"/>
        <v>360</v>
      </c>
      <c r="I144" s="39"/>
      <c r="J144" s="47"/>
      <c r="K144" s="49"/>
      <c r="L144" s="50"/>
      <c r="M144" s="169"/>
      <c r="N144" s="170"/>
      <c r="O144" s="167"/>
      <c r="P144" s="168"/>
      <c r="Q144" s="165"/>
      <c r="R144" s="166"/>
      <c r="S144" s="167"/>
      <c r="T144" s="168"/>
      <c r="U144" s="165"/>
      <c r="V144" s="166"/>
      <c r="W144" s="167"/>
      <c r="X144" s="168"/>
      <c r="Y144" s="165"/>
      <c r="Z144" s="166"/>
      <c r="AA144" s="167"/>
      <c r="AB144" s="168"/>
      <c r="AC144" s="165"/>
      <c r="AD144" s="166"/>
      <c r="AE144" s="167"/>
      <c r="AF144" s="168"/>
      <c r="AG144" s="165"/>
      <c r="AH144" s="166"/>
      <c r="AI144" s="167"/>
      <c r="AJ144" s="168"/>
      <c r="AK144" s="165"/>
      <c r="AL144" s="166"/>
      <c r="AM144" s="167"/>
      <c r="AN144" s="168"/>
      <c r="AO144" s="165"/>
      <c r="AP144" s="166"/>
      <c r="AQ144" s="167"/>
      <c r="AR144" s="168"/>
      <c r="AS144" s="165"/>
      <c r="AT144" s="166"/>
      <c r="AU144" s="167"/>
      <c r="AV144" s="168"/>
      <c r="AW144" s="23"/>
      <c r="AX144" s="23"/>
      <c r="AY144" s="23"/>
    </row>
    <row r="145" spans="1:51" s="44" customFormat="1" ht="22" customHeight="1" x14ac:dyDescent="0.2">
      <c r="A145" s="41">
        <f>'ALS 10 BAZAR'!A145</f>
        <v>4031</v>
      </c>
      <c r="B145" s="165" t="str">
        <f>'ALS 10 BAZAR'!B145:E145</f>
        <v>TABULEIRO VACA E PICA PAU</v>
      </c>
      <c r="C145" s="182"/>
      <c r="D145" s="182"/>
      <c r="E145" s="166"/>
      <c r="F145" s="42">
        <f>'ALS 10 BAZAR'!F145</f>
        <v>12</v>
      </c>
      <c r="G145" s="43">
        <f>'ALS 10 BAZAR'!G145</f>
        <v>30</v>
      </c>
      <c r="H145" s="39">
        <f t="shared" si="1"/>
        <v>360</v>
      </c>
      <c r="I145" s="39"/>
      <c r="J145" s="47"/>
      <c r="K145" s="49"/>
      <c r="L145" s="50"/>
      <c r="M145" s="169"/>
      <c r="N145" s="170"/>
      <c r="O145" s="167"/>
      <c r="P145" s="168"/>
      <c r="Q145" s="165"/>
      <c r="R145" s="166"/>
      <c r="S145" s="167"/>
      <c r="T145" s="168"/>
      <c r="U145" s="165"/>
      <c r="V145" s="166"/>
      <c r="W145" s="167"/>
      <c r="X145" s="168"/>
      <c r="Y145" s="165"/>
      <c r="Z145" s="166"/>
      <c r="AA145" s="167"/>
      <c r="AB145" s="168"/>
      <c r="AC145" s="165"/>
      <c r="AD145" s="166"/>
      <c r="AE145" s="167"/>
      <c r="AF145" s="168"/>
      <c r="AG145" s="165"/>
      <c r="AH145" s="166"/>
      <c r="AI145" s="167"/>
      <c r="AJ145" s="168"/>
      <c r="AK145" s="165"/>
      <c r="AL145" s="166"/>
      <c r="AM145" s="167"/>
      <c r="AN145" s="168"/>
      <c r="AO145" s="165"/>
      <c r="AP145" s="166"/>
      <c r="AQ145" s="167"/>
      <c r="AR145" s="168"/>
      <c r="AS145" s="165"/>
      <c r="AT145" s="166"/>
      <c r="AU145" s="167"/>
      <c r="AV145" s="168"/>
      <c r="AW145" s="23"/>
      <c r="AX145" s="23"/>
      <c r="AY145" s="23"/>
    </row>
    <row r="146" spans="1:51" s="44" customFormat="1" ht="22" customHeight="1" x14ac:dyDescent="0.2">
      <c r="A146" s="41">
        <f>'ALS 10 BAZAR'!A146</f>
        <v>4032</v>
      </c>
      <c r="B146" s="165" t="str">
        <f>'ALS 10 BAZAR'!B146:E146</f>
        <v>TABULEIRO TREM E GATO</v>
      </c>
      <c r="C146" s="182"/>
      <c r="D146" s="182"/>
      <c r="E146" s="166"/>
      <c r="F146" s="42">
        <f>'ALS 10 BAZAR'!F146</f>
        <v>12</v>
      </c>
      <c r="G146" s="43">
        <f>'ALS 10 BAZAR'!G146</f>
        <v>30</v>
      </c>
      <c r="H146" s="39">
        <f t="shared" si="1"/>
        <v>360</v>
      </c>
      <c r="I146" s="39"/>
      <c r="J146" s="47"/>
      <c r="K146" s="49"/>
      <c r="L146" s="50"/>
      <c r="M146" s="169"/>
      <c r="N146" s="170"/>
      <c r="O146" s="167"/>
      <c r="P146" s="168"/>
      <c r="Q146" s="165"/>
      <c r="R146" s="166"/>
      <c r="S146" s="167"/>
      <c r="T146" s="168"/>
      <c r="U146" s="165"/>
      <c r="V146" s="166"/>
      <c r="W146" s="167"/>
      <c r="X146" s="168"/>
      <c r="Y146" s="165"/>
      <c r="Z146" s="166"/>
      <c r="AA146" s="167"/>
      <c r="AB146" s="168"/>
      <c r="AC146" s="165"/>
      <c r="AD146" s="166"/>
      <c r="AE146" s="167"/>
      <c r="AF146" s="168"/>
      <c r="AG146" s="165"/>
      <c r="AH146" s="166"/>
      <c r="AI146" s="167"/>
      <c r="AJ146" s="168"/>
      <c r="AK146" s="165"/>
      <c r="AL146" s="166"/>
      <c r="AM146" s="167"/>
      <c r="AN146" s="168"/>
      <c r="AO146" s="165"/>
      <c r="AP146" s="166"/>
      <c r="AQ146" s="167"/>
      <c r="AR146" s="168"/>
      <c r="AS146" s="165"/>
      <c r="AT146" s="166"/>
      <c r="AU146" s="167"/>
      <c r="AV146" s="168"/>
      <c r="AW146" s="23"/>
      <c r="AX146" s="23"/>
      <c r="AY146" s="23"/>
    </row>
    <row r="147" spans="1:51" s="44" customFormat="1" ht="22" customHeight="1" x14ac:dyDescent="0.2">
      <c r="A147" s="41">
        <f>'ALS 10 BAZAR'!A147</f>
        <v>719</v>
      </c>
      <c r="B147" s="165" t="str">
        <f>'ALS 10 BAZAR'!B147:E147</f>
        <v>QUEBRA CABECA ASTRONAUTA</v>
      </c>
      <c r="C147" s="182"/>
      <c r="D147" s="182"/>
      <c r="E147" s="166"/>
      <c r="F147" s="42">
        <f>'ALS 10 BAZAR'!F147</f>
        <v>6</v>
      </c>
      <c r="G147" s="43">
        <f>'ALS 10 BAZAR'!G147</f>
        <v>50</v>
      </c>
      <c r="H147" s="39">
        <f t="shared" si="1"/>
        <v>300</v>
      </c>
      <c r="I147" s="39"/>
      <c r="J147" s="47"/>
      <c r="K147" s="49"/>
      <c r="L147" s="50"/>
      <c r="M147" s="169"/>
      <c r="N147" s="170"/>
      <c r="O147" s="167"/>
      <c r="P147" s="168"/>
      <c r="Q147" s="165"/>
      <c r="R147" s="166"/>
      <c r="S147" s="167"/>
      <c r="T147" s="168"/>
      <c r="U147" s="165"/>
      <c r="V147" s="166"/>
      <c r="W147" s="167"/>
      <c r="X147" s="168"/>
      <c r="Y147" s="165"/>
      <c r="Z147" s="166"/>
      <c r="AA147" s="167"/>
      <c r="AB147" s="168"/>
      <c r="AC147" s="165"/>
      <c r="AD147" s="166"/>
      <c r="AE147" s="167"/>
      <c r="AF147" s="168"/>
      <c r="AG147" s="165"/>
      <c r="AH147" s="166"/>
      <c r="AI147" s="167"/>
      <c r="AJ147" s="168"/>
      <c r="AK147" s="165"/>
      <c r="AL147" s="166"/>
      <c r="AM147" s="167"/>
      <c r="AN147" s="168"/>
      <c r="AO147" s="165"/>
      <c r="AP147" s="166"/>
      <c r="AQ147" s="167"/>
      <c r="AR147" s="168"/>
      <c r="AS147" s="165"/>
      <c r="AT147" s="166"/>
      <c r="AU147" s="167"/>
      <c r="AV147" s="168"/>
      <c r="AW147" s="23"/>
      <c r="AX147" s="23"/>
      <c r="AY147" s="23"/>
    </row>
    <row r="148" spans="1:51" s="44" customFormat="1" ht="22" customHeight="1" x14ac:dyDescent="0.2">
      <c r="A148" s="41">
        <f>'ALS 10 BAZAR'!A148</f>
        <v>723</v>
      </c>
      <c r="B148" s="165" t="str">
        <f>'ALS 10 BAZAR'!B148:E148</f>
        <v>RESTA 1</v>
      </c>
      <c r="C148" s="182"/>
      <c r="D148" s="182"/>
      <c r="E148" s="166"/>
      <c r="F148" s="42">
        <f>'ALS 10 BAZAR'!F148</f>
        <v>6</v>
      </c>
      <c r="G148" s="43">
        <f>'ALS 10 BAZAR'!G148</f>
        <v>0</v>
      </c>
      <c r="H148" s="39">
        <f t="shared" si="1"/>
        <v>0</v>
      </c>
      <c r="I148" s="39"/>
      <c r="J148" s="47"/>
      <c r="K148" s="49"/>
      <c r="L148" s="50"/>
      <c r="M148" s="169"/>
      <c r="N148" s="170"/>
      <c r="O148" s="167"/>
      <c r="P148" s="168"/>
      <c r="Q148" s="165"/>
      <c r="R148" s="166"/>
      <c r="S148" s="167"/>
      <c r="T148" s="168"/>
      <c r="U148" s="165"/>
      <c r="V148" s="166"/>
      <c r="W148" s="167"/>
      <c r="X148" s="168"/>
      <c r="Y148" s="165"/>
      <c r="Z148" s="166"/>
      <c r="AA148" s="167"/>
      <c r="AB148" s="168"/>
      <c r="AC148" s="165"/>
      <c r="AD148" s="166"/>
      <c r="AE148" s="167"/>
      <c r="AF148" s="168"/>
      <c r="AG148" s="165"/>
      <c r="AH148" s="166"/>
      <c r="AI148" s="167"/>
      <c r="AJ148" s="168"/>
      <c r="AK148" s="165"/>
      <c r="AL148" s="166"/>
      <c r="AM148" s="167"/>
      <c r="AN148" s="168"/>
      <c r="AO148" s="165"/>
      <c r="AP148" s="166"/>
      <c r="AQ148" s="167"/>
      <c r="AR148" s="168"/>
      <c r="AS148" s="165"/>
      <c r="AT148" s="166"/>
      <c r="AU148" s="167"/>
      <c r="AV148" s="168"/>
      <c r="AW148" s="23"/>
      <c r="AX148" s="23"/>
      <c r="AY148" s="23"/>
    </row>
    <row r="149" spans="1:51" s="44" customFormat="1" ht="22" customHeight="1" x14ac:dyDescent="0.2">
      <c r="A149" s="41">
        <f>'ALS 10 BAZAR'!A149</f>
        <v>725</v>
      </c>
      <c r="B149" s="165" t="str">
        <f>'ALS 10 BAZAR'!B149:E149</f>
        <v>CUBO FORMAS</v>
      </c>
      <c r="C149" s="182"/>
      <c r="D149" s="182"/>
      <c r="E149" s="166"/>
      <c r="F149" s="42">
        <f>'ALS 10 BAZAR'!F149</f>
        <v>6</v>
      </c>
      <c r="G149" s="43">
        <f>'ALS 10 BAZAR'!G149</f>
        <v>40</v>
      </c>
      <c r="H149" s="39">
        <f t="shared" si="1"/>
        <v>240</v>
      </c>
      <c r="I149" s="39"/>
      <c r="J149" s="47"/>
      <c r="K149" s="49"/>
      <c r="L149" s="50"/>
      <c r="M149" s="169"/>
      <c r="N149" s="170"/>
      <c r="O149" s="167"/>
      <c r="P149" s="168"/>
      <c r="Q149" s="165"/>
      <c r="R149" s="166"/>
      <c r="S149" s="167"/>
      <c r="T149" s="168"/>
      <c r="U149" s="165"/>
      <c r="V149" s="166"/>
      <c r="W149" s="167"/>
      <c r="X149" s="168"/>
      <c r="Y149" s="165"/>
      <c r="Z149" s="166"/>
      <c r="AA149" s="167"/>
      <c r="AB149" s="168"/>
      <c r="AC149" s="165"/>
      <c r="AD149" s="166"/>
      <c r="AE149" s="167"/>
      <c r="AF149" s="168"/>
      <c r="AG149" s="165"/>
      <c r="AH149" s="166"/>
      <c r="AI149" s="167"/>
      <c r="AJ149" s="168"/>
      <c r="AK149" s="165"/>
      <c r="AL149" s="166"/>
      <c r="AM149" s="167"/>
      <c r="AN149" s="168"/>
      <c r="AO149" s="165"/>
      <c r="AP149" s="166"/>
      <c r="AQ149" s="167"/>
      <c r="AR149" s="168"/>
      <c r="AS149" s="165"/>
      <c r="AT149" s="166"/>
      <c r="AU149" s="167"/>
      <c r="AV149" s="168"/>
      <c r="AW149" s="23"/>
      <c r="AX149" s="23"/>
      <c r="AY149" s="23"/>
    </row>
    <row r="150" spans="1:51" s="44" customFormat="1" ht="22" customHeight="1" x14ac:dyDescent="0.2">
      <c r="A150" s="41">
        <f>'ALS 10 BAZAR'!A150</f>
        <v>724</v>
      </c>
      <c r="B150" s="165" t="str">
        <f>'ALS 10 BAZAR'!B150:E150</f>
        <v>CUBO VOGAIS</v>
      </c>
      <c r="C150" s="182"/>
      <c r="D150" s="182"/>
      <c r="E150" s="166"/>
      <c r="F150" s="42">
        <f>'ALS 10 BAZAR'!F150</f>
        <v>6</v>
      </c>
      <c r="G150" s="43">
        <f>'ALS 10 BAZAR'!G150</f>
        <v>50</v>
      </c>
      <c r="H150" s="39">
        <f t="shared" si="1"/>
        <v>300</v>
      </c>
      <c r="I150" s="39"/>
      <c r="J150" s="47"/>
      <c r="K150" s="49"/>
      <c r="L150" s="50"/>
      <c r="M150" s="169"/>
      <c r="N150" s="170"/>
      <c r="O150" s="167"/>
      <c r="P150" s="168"/>
      <c r="Q150" s="165"/>
      <c r="R150" s="166"/>
      <c r="S150" s="167"/>
      <c r="T150" s="168"/>
      <c r="U150" s="165"/>
      <c r="V150" s="166"/>
      <c r="W150" s="167"/>
      <c r="X150" s="168"/>
      <c r="Y150" s="165"/>
      <c r="Z150" s="166"/>
      <c r="AA150" s="167"/>
      <c r="AB150" s="168"/>
      <c r="AC150" s="165"/>
      <c r="AD150" s="166"/>
      <c r="AE150" s="167"/>
      <c r="AF150" s="168"/>
      <c r="AG150" s="165"/>
      <c r="AH150" s="166"/>
      <c r="AI150" s="167"/>
      <c r="AJ150" s="168"/>
      <c r="AK150" s="165"/>
      <c r="AL150" s="166"/>
      <c r="AM150" s="167"/>
      <c r="AN150" s="168"/>
      <c r="AO150" s="165"/>
      <c r="AP150" s="166"/>
      <c r="AQ150" s="167"/>
      <c r="AR150" s="168"/>
      <c r="AS150" s="165"/>
      <c r="AT150" s="166"/>
      <c r="AU150" s="167"/>
      <c r="AV150" s="168"/>
      <c r="AW150" s="23"/>
      <c r="AX150" s="23"/>
      <c r="AY150" s="23"/>
    </row>
    <row r="151" spans="1:51" s="44" customFormat="1" ht="22" customHeight="1" x14ac:dyDescent="0.2">
      <c r="A151" s="41">
        <f>'ALS 10 BAZAR'!A151</f>
        <v>730</v>
      </c>
      <c r="B151" s="165" t="str">
        <f>'ALS 10 BAZAR'!B151:E151</f>
        <v>JOGO DO MICO</v>
      </c>
      <c r="C151" s="182"/>
      <c r="D151" s="182"/>
      <c r="E151" s="166"/>
      <c r="F151" s="42">
        <f>'ALS 10 BAZAR'!F151</f>
        <v>18</v>
      </c>
      <c r="G151" s="43">
        <f>'ALS 10 BAZAR'!G151</f>
        <v>35</v>
      </c>
      <c r="H151" s="39">
        <f t="shared" si="1"/>
        <v>630</v>
      </c>
      <c r="I151" s="39"/>
      <c r="J151" s="47"/>
      <c r="K151" s="56"/>
      <c r="L151" s="57"/>
      <c r="M151" s="169"/>
      <c r="N151" s="170"/>
      <c r="O151" s="167"/>
      <c r="P151" s="168"/>
      <c r="Q151" s="165"/>
      <c r="R151" s="166"/>
      <c r="S151" s="167"/>
      <c r="T151" s="168"/>
      <c r="U151" s="165"/>
      <c r="V151" s="166"/>
      <c r="W151" s="167"/>
      <c r="X151" s="168"/>
      <c r="Y151" s="165"/>
      <c r="Z151" s="166"/>
      <c r="AA151" s="167"/>
      <c r="AB151" s="168"/>
      <c r="AC151" s="165"/>
      <c r="AD151" s="166"/>
      <c r="AE151" s="167"/>
      <c r="AF151" s="168"/>
      <c r="AG151" s="165"/>
      <c r="AH151" s="166"/>
      <c r="AI151" s="167"/>
      <c r="AJ151" s="168"/>
      <c r="AK151" s="165"/>
      <c r="AL151" s="166"/>
      <c r="AM151" s="167"/>
      <c r="AN151" s="168"/>
      <c r="AO151" s="165"/>
      <c r="AP151" s="166"/>
      <c r="AQ151" s="167"/>
      <c r="AR151" s="168"/>
      <c r="AS151" s="165"/>
      <c r="AT151" s="166"/>
      <c r="AU151" s="167"/>
      <c r="AV151" s="168"/>
      <c r="AW151" s="23"/>
      <c r="AX151" s="23"/>
      <c r="AY151" s="23"/>
    </row>
    <row r="152" spans="1:51" s="44" customFormat="1" ht="22" customHeight="1" x14ac:dyDescent="0.2">
      <c r="A152" s="41">
        <f>'ALS 10 BAZAR'!A152</f>
        <v>729</v>
      </c>
      <c r="B152" s="165" t="str">
        <f>'ALS 10 BAZAR'!B152:E152</f>
        <v>ROUBA MONTE</v>
      </c>
      <c r="C152" s="182"/>
      <c r="D152" s="182"/>
      <c r="E152" s="166"/>
      <c r="F152" s="42">
        <f>'ALS 10 BAZAR'!F152</f>
        <v>18</v>
      </c>
      <c r="G152" s="43">
        <f>'ALS 10 BAZAR'!G152</f>
        <v>30</v>
      </c>
      <c r="H152" s="39">
        <f t="shared" si="1"/>
        <v>540</v>
      </c>
      <c r="I152" s="39"/>
      <c r="J152" s="47"/>
      <c r="K152" s="56"/>
      <c r="L152" s="57"/>
      <c r="M152" s="169"/>
      <c r="N152" s="170"/>
      <c r="O152" s="167"/>
      <c r="P152" s="168"/>
      <c r="Q152" s="165"/>
      <c r="R152" s="166"/>
      <c r="S152" s="167"/>
      <c r="T152" s="168"/>
      <c r="U152" s="165"/>
      <c r="V152" s="166"/>
      <c r="W152" s="167"/>
      <c r="X152" s="168"/>
      <c r="Y152" s="165"/>
      <c r="Z152" s="166"/>
      <c r="AA152" s="167"/>
      <c r="AB152" s="168"/>
      <c r="AC152" s="165"/>
      <c r="AD152" s="166"/>
      <c r="AE152" s="167"/>
      <c r="AF152" s="168"/>
      <c r="AG152" s="165"/>
      <c r="AH152" s="166"/>
      <c r="AI152" s="167"/>
      <c r="AJ152" s="168"/>
      <c r="AK152" s="165"/>
      <c r="AL152" s="166"/>
      <c r="AM152" s="167"/>
      <c r="AN152" s="168"/>
      <c r="AO152" s="165"/>
      <c r="AP152" s="166"/>
      <c r="AQ152" s="167"/>
      <c r="AR152" s="168"/>
      <c r="AS152" s="165"/>
      <c r="AT152" s="166"/>
      <c r="AU152" s="167"/>
      <c r="AV152" s="168"/>
      <c r="AW152" s="23"/>
      <c r="AX152" s="23"/>
      <c r="AY152" s="23"/>
    </row>
    <row r="153" spans="1:51" s="44" customFormat="1" ht="22" customHeight="1" x14ac:dyDescent="0.2">
      <c r="A153" s="41">
        <f>'ALS 10 BAZAR'!A153</f>
        <v>727</v>
      </c>
      <c r="B153" s="165" t="str">
        <f>'ALS 10 BAZAR'!B153:E153</f>
        <v>QUEBRA CABECA 3D AVIAO</v>
      </c>
      <c r="C153" s="182"/>
      <c r="D153" s="182"/>
      <c r="E153" s="166"/>
      <c r="F153" s="42">
        <f>'ALS 10 BAZAR'!F153</f>
        <v>6</v>
      </c>
      <c r="G153" s="43">
        <f>'ALS 10 BAZAR'!G153</f>
        <v>35</v>
      </c>
      <c r="H153" s="39">
        <f t="shared" si="1"/>
        <v>210</v>
      </c>
      <c r="I153" s="39"/>
      <c r="J153" s="47"/>
      <c r="K153" s="49"/>
      <c r="L153" s="50"/>
      <c r="M153" s="169"/>
      <c r="N153" s="170"/>
      <c r="O153" s="167"/>
      <c r="P153" s="168"/>
      <c r="Q153" s="165"/>
      <c r="R153" s="166"/>
      <c r="S153" s="167"/>
      <c r="T153" s="168"/>
      <c r="U153" s="165"/>
      <c r="V153" s="166"/>
      <c r="W153" s="167"/>
      <c r="X153" s="168"/>
      <c r="Y153" s="165"/>
      <c r="Z153" s="166"/>
      <c r="AA153" s="167"/>
      <c r="AB153" s="168"/>
      <c r="AC153" s="165"/>
      <c r="AD153" s="166"/>
      <c r="AE153" s="167"/>
      <c r="AF153" s="168"/>
      <c r="AG153" s="165"/>
      <c r="AH153" s="166"/>
      <c r="AI153" s="167"/>
      <c r="AJ153" s="168"/>
      <c r="AK153" s="165"/>
      <c r="AL153" s="166"/>
      <c r="AM153" s="167"/>
      <c r="AN153" s="168"/>
      <c r="AO153" s="165"/>
      <c r="AP153" s="166"/>
      <c r="AQ153" s="167"/>
      <c r="AR153" s="168"/>
      <c r="AS153" s="165"/>
      <c r="AT153" s="166"/>
      <c r="AU153" s="167"/>
      <c r="AV153" s="168"/>
      <c r="AW153" s="23"/>
      <c r="AX153" s="23"/>
      <c r="AY153" s="23"/>
    </row>
    <row r="154" spans="1:51" s="44" customFormat="1" ht="22" customHeight="1" x14ac:dyDescent="0.2">
      <c r="A154" s="41">
        <f>'ALS 10 BAZAR'!A154</f>
        <v>726</v>
      </c>
      <c r="B154" s="165" t="str">
        <f>'ALS 10 BAZAR'!B154:E154</f>
        <v>QUEBRA CABECA 3D CAVALO</v>
      </c>
      <c r="C154" s="182"/>
      <c r="D154" s="182"/>
      <c r="E154" s="166"/>
      <c r="F154" s="42">
        <f>'ALS 10 BAZAR'!F154</f>
        <v>6</v>
      </c>
      <c r="G154" s="43">
        <f>'ALS 10 BAZAR'!G154</f>
        <v>35</v>
      </c>
      <c r="H154" s="39">
        <f t="shared" si="1"/>
        <v>210</v>
      </c>
      <c r="I154" s="39"/>
      <c r="J154" s="47"/>
      <c r="K154" s="49"/>
      <c r="L154" s="50"/>
      <c r="M154" s="169"/>
      <c r="N154" s="170"/>
      <c r="O154" s="167"/>
      <c r="P154" s="168"/>
      <c r="Q154" s="165"/>
      <c r="R154" s="166"/>
      <c r="S154" s="167"/>
      <c r="T154" s="168"/>
      <c r="U154" s="165"/>
      <c r="V154" s="166"/>
      <c r="W154" s="167"/>
      <c r="X154" s="168"/>
      <c r="Y154" s="165"/>
      <c r="Z154" s="166"/>
      <c r="AA154" s="167"/>
      <c r="AB154" s="168"/>
      <c r="AC154" s="165"/>
      <c r="AD154" s="166"/>
      <c r="AE154" s="167"/>
      <c r="AF154" s="168"/>
      <c r="AG154" s="165"/>
      <c r="AH154" s="166"/>
      <c r="AI154" s="167"/>
      <c r="AJ154" s="168"/>
      <c r="AK154" s="165"/>
      <c r="AL154" s="166"/>
      <c r="AM154" s="167"/>
      <c r="AN154" s="168"/>
      <c r="AO154" s="165"/>
      <c r="AP154" s="166"/>
      <c r="AQ154" s="167"/>
      <c r="AR154" s="168"/>
      <c r="AS154" s="165"/>
      <c r="AT154" s="166"/>
      <c r="AU154" s="167"/>
      <c r="AV154" s="168"/>
      <c r="AW154" s="23"/>
      <c r="AX154" s="23"/>
      <c r="AY154" s="23"/>
    </row>
    <row r="155" spans="1:51" s="44" customFormat="1" ht="22" customHeight="1" x14ac:dyDescent="0.2">
      <c r="A155" s="41">
        <f>'ALS 10 BAZAR'!A155</f>
        <v>728</v>
      </c>
      <c r="B155" s="165" t="str">
        <f>'ALS 10 BAZAR'!B155:E155</f>
        <v>QUEBRA CABECA 3D DINO</v>
      </c>
      <c r="C155" s="182"/>
      <c r="D155" s="182"/>
      <c r="E155" s="166"/>
      <c r="F155" s="42">
        <f>'ALS 10 BAZAR'!F155</f>
        <v>6</v>
      </c>
      <c r="G155" s="43">
        <f>'ALS 10 BAZAR'!G155</f>
        <v>40</v>
      </c>
      <c r="H155" s="39">
        <f t="shared" si="1"/>
        <v>240</v>
      </c>
      <c r="I155" s="39"/>
      <c r="J155" s="47"/>
      <c r="K155" s="49"/>
      <c r="L155" s="50"/>
      <c r="M155" s="169"/>
      <c r="N155" s="170"/>
      <c r="O155" s="167"/>
      <c r="P155" s="168"/>
      <c r="Q155" s="165"/>
      <c r="R155" s="166"/>
      <c r="S155" s="167"/>
      <c r="T155" s="168"/>
      <c r="U155" s="165"/>
      <c r="V155" s="166"/>
      <c r="W155" s="167"/>
      <c r="X155" s="168"/>
      <c r="Y155" s="165"/>
      <c r="Z155" s="166"/>
      <c r="AA155" s="167"/>
      <c r="AB155" s="168"/>
      <c r="AC155" s="165"/>
      <c r="AD155" s="166"/>
      <c r="AE155" s="167"/>
      <c r="AF155" s="168"/>
      <c r="AG155" s="165"/>
      <c r="AH155" s="166"/>
      <c r="AI155" s="167"/>
      <c r="AJ155" s="168"/>
      <c r="AK155" s="165"/>
      <c r="AL155" s="166"/>
      <c r="AM155" s="167"/>
      <c r="AN155" s="168"/>
      <c r="AO155" s="165"/>
      <c r="AP155" s="166"/>
      <c r="AQ155" s="167"/>
      <c r="AR155" s="168"/>
      <c r="AS155" s="165"/>
      <c r="AT155" s="166"/>
      <c r="AU155" s="167"/>
      <c r="AV155" s="168"/>
      <c r="AW155" s="23"/>
      <c r="AX155" s="23"/>
      <c r="AY155" s="23"/>
    </row>
    <row r="156" spans="1:51" s="44" customFormat="1" ht="22" customHeight="1" x14ac:dyDescent="0.2">
      <c r="A156" s="41">
        <f>'ALS 10 BAZAR'!A156</f>
        <v>731</v>
      </c>
      <c r="B156" s="165" t="str">
        <f>'ALS 10 BAZAR'!B156:E156</f>
        <v>PEQUENO ENGENHEIRO 42PC</v>
      </c>
      <c r="C156" s="182"/>
      <c r="D156" s="182"/>
      <c r="E156" s="166"/>
      <c r="F156" s="42">
        <f>'ALS 10 BAZAR'!F156</f>
        <v>6</v>
      </c>
      <c r="G156" s="43">
        <f>'ALS 10 BAZAR'!G156</f>
        <v>0</v>
      </c>
      <c r="H156" s="39">
        <f t="shared" si="1"/>
        <v>0</v>
      </c>
      <c r="I156" s="39"/>
      <c r="J156" s="47"/>
      <c r="K156" s="49"/>
      <c r="L156" s="50"/>
      <c r="M156" s="169"/>
      <c r="N156" s="170"/>
      <c r="O156" s="167"/>
      <c r="P156" s="168"/>
      <c r="Q156" s="165"/>
      <c r="R156" s="166"/>
      <c r="S156" s="167"/>
      <c r="T156" s="168"/>
      <c r="U156" s="165"/>
      <c r="V156" s="166"/>
      <c r="W156" s="167"/>
      <c r="X156" s="168"/>
      <c r="Y156" s="165"/>
      <c r="Z156" s="166"/>
      <c r="AA156" s="167"/>
      <c r="AB156" s="168"/>
      <c r="AC156" s="165"/>
      <c r="AD156" s="166"/>
      <c r="AE156" s="167"/>
      <c r="AF156" s="168"/>
      <c r="AG156" s="165"/>
      <c r="AH156" s="166"/>
      <c r="AI156" s="167"/>
      <c r="AJ156" s="168"/>
      <c r="AK156" s="165"/>
      <c r="AL156" s="166"/>
      <c r="AM156" s="167"/>
      <c r="AN156" s="168"/>
      <c r="AO156" s="165"/>
      <c r="AP156" s="166"/>
      <c r="AQ156" s="167"/>
      <c r="AR156" s="168"/>
      <c r="AS156" s="165"/>
      <c r="AT156" s="166"/>
      <c r="AU156" s="167"/>
      <c r="AV156" s="168"/>
      <c r="AW156" s="23"/>
      <c r="AX156" s="23"/>
      <c r="AY156" s="23"/>
    </row>
    <row r="157" spans="1:51" s="44" customFormat="1" ht="22" customHeight="1" x14ac:dyDescent="0.2">
      <c r="A157" s="41">
        <f>'ALS 10 BAZAR'!A157</f>
        <v>733</v>
      </c>
      <c r="B157" s="165" t="str">
        <f>'ALS 10 BAZAR'!B157:E157</f>
        <v>CASTELO DA PRINCESA 42PC</v>
      </c>
      <c r="C157" s="182"/>
      <c r="D157" s="182"/>
      <c r="E157" s="166"/>
      <c r="F157" s="42">
        <f>'ALS 10 BAZAR'!F157</f>
        <v>6</v>
      </c>
      <c r="G157" s="43">
        <f>'ALS 10 BAZAR'!G157</f>
        <v>0</v>
      </c>
      <c r="H157" s="39">
        <f t="shared" si="1"/>
        <v>0</v>
      </c>
      <c r="I157" s="39"/>
      <c r="J157" s="47"/>
      <c r="K157" s="49"/>
      <c r="L157" s="50"/>
      <c r="M157" s="169"/>
      <c r="N157" s="170"/>
      <c r="O157" s="167"/>
      <c r="P157" s="168"/>
      <c r="Q157" s="165"/>
      <c r="R157" s="166"/>
      <c r="S157" s="167"/>
      <c r="T157" s="168"/>
      <c r="U157" s="165"/>
      <c r="V157" s="166"/>
      <c r="W157" s="167"/>
      <c r="X157" s="168"/>
      <c r="Y157" s="165"/>
      <c r="Z157" s="166"/>
      <c r="AA157" s="167"/>
      <c r="AB157" s="168"/>
      <c r="AC157" s="165"/>
      <c r="AD157" s="166"/>
      <c r="AE157" s="167"/>
      <c r="AF157" s="168"/>
      <c r="AG157" s="165"/>
      <c r="AH157" s="166"/>
      <c r="AI157" s="167"/>
      <c r="AJ157" s="168"/>
      <c r="AK157" s="165"/>
      <c r="AL157" s="166"/>
      <c r="AM157" s="167"/>
      <c r="AN157" s="168"/>
      <c r="AO157" s="165"/>
      <c r="AP157" s="166"/>
      <c r="AQ157" s="167"/>
      <c r="AR157" s="168"/>
      <c r="AS157" s="165"/>
      <c r="AT157" s="166"/>
      <c r="AU157" s="167"/>
      <c r="AV157" s="168"/>
      <c r="AW157" s="23"/>
      <c r="AX157" s="23"/>
      <c r="AY157" s="23"/>
    </row>
    <row r="158" spans="1:51" s="44" customFormat="1" ht="22" customHeight="1" x14ac:dyDescent="0.2">
      <c r="A158" s="41">
        <f>'ALS 10 BAZAR'!A158</f>
        <v>0</v>
      </c>
      <c r="B158" s="165" t="str">
        <f>'ALS 10 BAZAR'!B158:E158</f>
        <v>CESTA DE PASCOA CISAL</v>
      </c>
      <c r="C158" s="182"/>
      <c r="D158" s="182"/>
      <c r="E158" s="166"/>
      <c r="F158" s="42">
        <f>'ALS 10 BAZAR'!F158</f>
        <v>6</v>
      </c>
      <c r="G158" s="43">
        <f>'ALS 10 BAZAR'!G158</f>
        <v>0</v>
      </c>
      <c r="H158" s="39">
        <f t="shared" si="1"/>
        <v>0</v>
      </c>
      <c r="I158" s="39"/>
      <c r="J158" s="47"/>
      <c r="K158" s="49"/>
      <c r="L158" s="50"/>
      <c r="M158" s="169"/>
      <c r="N158" s="170"/>
      <c r="O158" s="167"/>
      <c r="P158" s="168"/>
      <c r="Q158" s="165"/>
      <c r="R158" s="166"/>
      <c r="S158" s="167"/>
      <c r="T158" s="168"/>
      <c r="U158" s="165"/>
      <c r="V158" s="166"/>
      <c r="W158" s="167"/>
      <c r="X158" s="168"/>
      <c r="Y158" s="165"/>
      <c r="Z158" s="166"/>
      <c r="AA158" s="167"/>
      <c r="AB158" s="168"/>
      <c r="AC158" s="165"/>
      <c r="AD158" s="166"/>
      <c r="AE158" s="167"/>
      <c r="AF158" s="168"/>
      <c r="AG158" s="165"/>
      <c r="AH158" s="166"/>
      <c r="AI158" s="167"/>
      <c r="AJ158" s="168"/>
      <c r="AK158" s="165"/>
      <c r="AL158" s="166"/>
      <c r="AM158" s="167"/>
      <c r="AN158" s="168"/>
      <c r="AO158" s="165"/>
      <c r="AP158" s="166"/>
      <c r="AQ158" s="167"/>
      <c r="AR158" s="168"/>
      <c r="AS158" s="165"/>
      <c r="AT158" s="166"/>
      <c r="AU158" s="167"/>
      <c r="AV158" s="168"/>
      <c r="AW158" s="23"/>
      <c r="AX158" s="23"/>
      <c r="AY158" s="23"/>
    </row>
    <row r="159" spans="1:51" s="44" customFormat="1" ht="22" customHeight="1" x14ac:dyDescent="0.2">
      <c r="A159" s="41">
        <f>'ALS 10 BAZAR'!A159</f>
        <v>0</v>
      </c>
      <c r="B159" s="165" t="str">
        <f>'ALS 10 BAZAR'!B159:E159</f>
        <v>CESTA DE PASCOA OVO</v>
      </c>
      <c r="C159" s="182"/>
      <c r="D159" s="182"/>
      <c r="E159" s="166"/>
      <c r="F159" s="42">
        <f>'ALS 10 BAZAR'!F159</f>
        <v>6</v>
      </c>
      <c r="G159" s="43">
        <f>'ALS 10 BAZAR'!G159</f>
        <v>0</v>
      </c>
      <c r="H159" s="39">
        <f t="shared" si="1"/>
        <v>0</v>
      </c>
      <c r="I159" s="39"/>
      <c r="J159" s="47"/>
      <c r="K159" s="49"/>
      <c r="L159" s="50"/>
      <c r="M159" s="169"/>
      <c r="N159" s="170"/>
      <c r="O159" s="167"/>
      <c r="P159" s="168"/>
      <c r="Q159" s="165"/>
      <c r="R159" s="166"/>
      <c r="S159" s="167"/>
      <c r="T159" s="168"/>
      <c r="U159" s="165"/>
      <c r="V159" s="166"/>
      <c r="W159" s="167"/>
      <c r="X159" s="168"/>
      <c r="Y159" s="165"/>
      <c r="Z159" s="166"/>
      <c r="AA159" s="167"/>
      <c r="AB159" s="168"/>
      <c r="AC159" s="165"/>
      <c r="AD159" s="166"/>
      <c r="AE159" s="167"/>
      <c r="AF159" s="168"/>
      <c r="AG159" s="165"/>
      <c r="AH159" s="166"/>
      <c r="AI159" s="167"/>
      <c r="AJ159" s="168"/>
      <c r="AK159" s="165"/>
      <c r="AL159" s="166"/>
      <c r="AM159" s="167"/>
      <c r="AN159" s="168"/>
      <c r="AO159" s="165"/>
      <c r="AP159" s="166"/>
      <c r="AQ159" s="167"/>
      <c r="AR159" s="168"/>
      <c r="AS159" s="165"/>
      <c r="AT159" s="166"/>
      <c r="AU159" s="167"/>
      <c r="AV159" s="168"/>
      <c r="AW159" s="23"/>
      <c r="AX159" s="23"/>
      <c r="AY159" s="23"/>
    </row>
    <row r="160" spans="1:51" s="44" customFormat="1" ht="22" customHeight="1" x14ac:dyDescent="0.2">
      <c r="A160" s="41">
        <f>'ALS 10 BAZAR'!A160</f>
        <v>0</v>
      </c>
      <c r="B160" s="165" t="str">
        <f>'ALS 10 BAZAR'!B160:E160</f>
        <v>COFRE MALA DE ECONOMIAS</v>
      </c>
      <c r="C160" s="182"/>
      <c r="D160" s="182"/>
      <c r="E160" s="166"/>
      <c r="F160" s="42">
        <f>'ALS 10 BAZAR'!F160</f>
        <v>6</v>
      </c>
      <c r="G160" s="43">
        <f>'ALS 10 BAZAR'!G160</f>
        <v>0</v>
      </c>
      <c r="H160" s="39">
        <f t="shared" si="1"/>
        <v>0</v>
      </c>
      <c r="I160" s="39"/>
      <c r="J160" s="47"/>
      <c r="K160" s="49"/>
      <c r="L160" s="50"/>
      <c r="M160" s="169"/>
      <c r="N160" s="170"/>
      <c r="O160" s="167"/>
      <c r="P160" s="168"/>
      <c r="Q160" s="165"/>
      <c r="R160" s="166"/>
      <c r="S160" s="167"/>
      <c r="T160" s="168"/>
      <c r="U160" s="165"/>
      <c r="V160" s="166"/>
      <c r="W160" s="167"/>
      <c r="X160" s="168"/>
      <c r="Y160" s="165"/>
      <c r="Z160" s="166"/>
      <c r="AA160" s="167"/>
      <c r="AB160" s="168"/>
      <c r="AC160" s="165"/>
      <c r="AD160" s="166"/>
      <c r="AE160" s="167"/>
      <c r="AF160" s="168"/>
      <c r="AG160" s="165"/>
      <c r="AH160" s="166"/>
      <c r="AI160" s="167"/>
      <c r="AJ160" s="168"/>
      <c r="AK160" s="165"/>
      <c r="AL160" s="166"/>
      <c r="AM160" s="167"/>
      <c r="AN160" s="168"/>
      <c r="AO160" s="165"/>
      <c r="AP160" s="166"/>
      <c r="AQ160" s="167"/>
      <c r="AR160" s="168"/>
      <c r="AS160" s="165"/>
      <c r="AT160" s="166"/>
      <c r="AU160" s="167"/>
      <c r="AV160" s="168"/>
      <c r="AW160" s="23"/>
      <c r="AX160" s="23"/>
      <c r="AY160" s="23"/>
    </row>
    <row r="161" spans="1:51" s="44" customFormat="1" ht="22" customHeight="1" x14ac:dyDescent="0.2">
      <c r="A161" s="41">
        <f>'ALS 10 BAZAR'!A161</f>
        <v>0</v>
      </c>
      <c r="B161" s="165" t="str">
        <f>'ALS 10 BAZAR'!B161:E161</f>
        <v>COFRE MALA VINTAGE</v>
      </c>
      <c r="C161" s="182"/>
      <c r="D161" s="182"/>
      <c r="E161" s="166"/>
      <c r="F161" s="42">
        <f>'ALS 10 BAZAR'!F161</f>
        <v>6</v>
      </c>
      <c r="G161" s="43">
        <f>'ALS 10 BAZAR'!G161</f>
        <v>0</v>
      </c>
      <c r="H161" s="39">
        <f t="shared" si="1"/>
        <v>0</v>
      </c>
      <c r="I161" s="39"/>
      <c r="J161" s="47"/>
      <c r="K161" s="49"/>
      <c r="L161" s="50"/>
      <c r="M161" s="169"/>
      <c r="N161" s="170"/>
      <c r="O161" s="167"/>
      <c r="P161" s="168"/>
      <c r="Q161" s="165"/>
      <c r="R161" s="166"/>
      <c r="S161" s="167"/>
      <c r="T161" s="168"/>
      <c r="U161" s="165"/>
      <c r="V161" s="166"/>
      <c r="W161" s="167"/>
      <c r="X161" s="168"/>
      <c r="Y161" s="165"/>
      <c r="Z161" s="166"/>
      <c r="AA161" s="167"/>
      <c r="AB161" s="168"/>
      <c r="AC161" s="165"/>
      <c r="AD161" s="166"/>
      <c r="AE161" s="167"/>
      <c r="AF161" s="168"/>
      <c r="AG161" s="165"/>
      <c r="AH161" s="166"/>
      <c r="AI161" s="167"/>
      <c r="AJ161" s="168"/>
      <c r="AK161" s="165"/>
      <c r="AL161" s="166"/>
      <c r="AM161" s="167"/>
      <c r="AN161" s="168"/>
      <c r="AO161" s="165"/>
      <c r="AP161" s="166"/>
      <c r="AQ161" s="167"/>
      <c r="AR161" s="168"/>
      <c r="AS161" s="165"/>
      <c r="AT161" s="166"/>
      <c r="AU161" s="167"/>
      <c r="AV161" s="168"/>
      <c r="AW161" s="23"/>
      <c r="AX161" s="23"/>
      <c r="AY161" s="23"/>
    </row>
    <row r="162" spans="1:51" s="44" customFormat="1" ht="22" customHeight="1" x14ac:dyDescent="0.2">
      <c r="A162" s="41">
        <f>'ALS 10 BAZAR'!A162</f>
        <v>0</v>
      </c>
      <c r="B162" s="165" t="str">
        <f>'ALS 10 BAZAR'!B162:E162</f>
        <v>SANTINHOS TOTEM</v>
      </c>
      <c r="C162" s="182"/>
      <c r="D162" s="182"/>
      <c r="E162" s="166"/>
      <c r="F162" s="42">
        <f>'ALS 10 BAZAR'!F162</f>
        <v>6</v>
      </c>
      <c r="G162" s="43">
        <f>'ALS 10 BAZAR'!G162</f>
        <v>60</v>
      </c>
      <c r="H162" s="39">
        <f t="shared" si="1"/>
        <v>360</v>
      </c>
      <c r="I162" s="39"/>
      <c r="J162" s="47"/>
      <c r="K162" s="49"/>
      <c r="L162" s="50"/>
      <c r="M162" s="169"/>
      <c r="N162" s="170"/>
      <c r="O162" s="167"/>
      <c r="P162" s="168"/>
      <c r="Q162" s="165"/>
      <c r="R162" s="166"/>
      <c r="S162" s="167"/>
      <c r="T162" s="168"/>
      <c r="U162" s="165"/>
      <c r="V162" s="166"/>
      <c r="W162" s="167"/>
      <c r="X162" s="168"/>
      <c r="Y162" s="165"/>
      <c r="Z162" s="166"/>
      <c r="AA162" s="167"/>
      <c r="AB162" s="168"/>
      <c r="AC162" s="165"/>
      <c r="AD162" s="166"/>
      <c r="AE162" s="167"/>
      <c r="AF162" s="168"/>
      <c r="AG162" s="165"/>
      <c r="AH162" s="166"/>
      <c r="AI162" s="167"/>
      <c r="AJ162" s="168"/>
      <c r="AK162" s="165"/>
      <c r="AL162" s="166"/>
      <c r="AM162" s="167"/>
      <c r="AN162" s="168"/>
      <c r="AO162" s="165"/>
      <c r="AP162" s="166"/>
      <c r="AQ162" s="167"/>
      <c r="AR162" s="168"/>
      <c r="AS162" s="165"/>
      <c r="AT162" s="166"/>
      <c r="AU162" s="167"/>
      <c r="AV162" s="168"/>
      <c r="AW162" s="23"/>
      <c r="AX162" s="23"/>
      <c r="AY162" s="23"/>
    </row>
    <row r="163" spans="1:51" s="44" customFormat="1" ht="22" customHeight="1" x14ac:dyDescent="0.2">
      <c r="A163" s="41">
        <f>'ALS 10 BAZAR'!A163</f>
        <v>0</v>
      </c>
      <c r="B163" s="165" t="str">
        <f>'ALS 10 BAZAR'!B163:E163</f>
        <v>PORTA CALENDARIO</v>
      </c>
      <c r="C163" s="182"/>
      <c r="D163" s="182"/>
      <c r="E163" s="166"/>
      <c r="F163" s="42">
        <f>'ALS 10 BAZAR'!F163</f>
        <v>6</v>
      </c>
      <c r="G163" s="43">
        <f>'ALS 10 BAZAR'!G163</f>
        <v>60</v>
      </c>
      <c r="H163" s="39">
        <f t="shared" si="1"/>
        <v>360</v>
      </c>
      <c r="I163" s="39"/>
      <c r="J163" s="47"/>
      <c r="K163" s="56"/>
      <c r="L163" s="57"/>
      <c r="M163" s="169"/>
      <c r="N163" s="170"/>
      <c r="O163" s="167"/>
      <c r="P163" s="168"/>
      <c r="Q163" s="165"/>
      <c r="R163" s="166"/>
      <c r="S163" s="167"/>
      <c r="T163" s="168"/>
      <c r="U163" s="165"/>
      <c r="V163" s="166"/>
      <c r="W163" s="167"/>
      <c r="X163" s="168"/>
      <c r="Y163" s="165"/>
      <c r="Z163" s="166"/>
      <c r="AA163" s="167"/>
      <c r="AB163" s="168"/>
      <c r="AC163" s="165"/>
      <c r="AD163" s="166"/>
      <c r="AE163" s="167"/>
      <c r="AF163" s="168"/>
      <c r="AG163" s="165"/>
      <c r="AH163" s="166"/>
      <c r="AI163" s="167"/>
      <c r="AJ163" s="168"/>
      <c r="AK163" s="165"/>
      <c r="AL163" s="166"/>
      <c r="AM163" s="167"/>
      <c r="AN163" s="168"/>
      <c r="AO163" s="165"/>
      <c r="AP163" s="166"/>
      <c r="AQ163" s="167"/>
      <c r="AR163" s="168"/>
      <c r="AS163" s="165"/>
      <c r="AT163" s="166"/>
      <c r="AU163" s="167"/>
      <c r="AV163" s="168"/>
      <c r="AW163" s="23"/>
      <c r="AX163" s="23"/>
      <c r="AY163" s="23"/>
    </row>
    <row r="164" spans="1:51" s="44" customFormat="1" ht="22" customHeight="1" x14ac:dyDescent="0.2">
      <c r="A164" s="41">
        <f>'ALS 10 BAZAR'!A164</f>
        <v>4103</v>
      </c>
      <c r="B164" s="165" t="str">
        <f>'ALS 10 BAZAR'!B164:E164</f>
        <v>CAIXA CHA 2 GAVETAS</v>
      </c>
      <c r="C164" s="182"/>
      <c r="D164" s="182"/>
      <c r="E164" s="166"/>
      <c r="F164" s="42">
        <f>'ALS 10 BAZAR'!F164</f>
        <v>6</v>
      </c>
      <c r="G164" s="43">
        <f>'ALS 10 BAZAR'!G164</f>
        <v>0</v>
      </c>
      <c r="H164" s="39">
        <f t="shared" si="1"/>
        <v>0</v>
      </c>
      <c r="I164" s="39"/>
      <c r="J164" s="47"/>
      <c r="K164" s="56"/>
      <c r="L164" s="57"/>
      <c r="M164" s="169"/>
      <c r="N164" s="170"/>
      <c r="O164" s="167"/>
      <c r="P164" s="168"/>
      <c r="Q164" s="165"/>
      <c r="R164" s="166"/>
      <c r="S164" s="167"/>
      <c r="T164" s="168"/>
      <c r="U164" s="165"/>
      <c r="V164" s="166"/>
      <c r="W164" s="167"/>
      <c r="X164" s="168"/>
      <c r="Y164" s="165"/>
      <c r="Z164" s="166"/>
      <c r="AA164" s="167"/>
      <c r="AB164" s="168"/>
      <c r="AC164" s="165"/>
      <c r="AD164" s="166"/>
      <c r="AE164" s="167"/>
      <c r="AF164" s="168"/>
      <c r="AG164" s="165"/>
      <c r="AH164" s="166"/>
      <c r="AI164" s="167"/>
      <c r="AJ164" s="168"/>
      <c r="AK164" s="165"/>
      <c r="AL164" s="166"/>
      <c r="AM164" s="167"/>
      <c r="AN164" s="168"/>
      <c r="AO164" s="165"/>
      <c r="AP164" s="166"/>
      <c r="AQ164" s="167"/>
      <c r="AR164" s="168"/>
      <c r="AS164" s="165"/>
      <c r="AT164" s="166"/>
      <c r="AU164" s="167"/>
      <c r="AV164" s="168"/>
      <c r="AW164" s="23"/>
      <c r="AX164" s="23"/>
      <c r="AY164" s="23"/>
    </row>
    <row r="165" spans="1:51" s="44" customFormat="1" ht="22" customHeight="1" x14ac:dyDescent="0.2">
      <c r="A165" s="41">
        <f>'ALS 10 BAZAR'!A165</f>
        <v>0</v>
      </c>
      <c r="B165" s="165">
        <f>'ALS 10 BAZAR'!B165:E165</f>
        <v>0</v>
      </c>
      <c r="C165" s="182"/>
      <c r="D165" s="182"/>
      <c r="E165" s="166"/>
      <c r="F165" s="42">
        <f>'ALS 10 BAZAR'!F165</f>
        <v>0</v>
      </c>
      <c r="G165" s="43">
        <f>'ALS 10 BAZAR'!G165</f>
        <v>0</v>
      </c>
      <c r="H165" s="39">
        <f t="shared" si="1"/>
        <v>0</v>
      </c>
      <c r="I165" s="39"/>
      <c r="J165" s="47"/>
      <c r="K165" s="56"/>
      <c r="L165" s="57"/>
      <c r="M165" s="169"/>
      <c r="N165" s="170"/>
      <c r="O165" s="167"/>
      <c r="P165" s="168"/>
      <c r="Q165" s="165"/>
      <c r="R165" s="166"/>
      <c r="S165" s="167"/>
      <c r="T165" s="168"/>
      <c r="U165" s="165"/>
      <c r="V165" s="166"/>
      <c r="W165" s="167"/>
      <c r="X165" s="168"/>
      <c r="Y165" s="165"/>
      <c r="Z165" s="166"/>
      <c r="AA165" s="167"/>
      <c r="AB165" s="168"/>
      <c r="AC165" s="165"/>
      <c r="AD165" s="166"/>
      <c r="AE165" s="167"/>
      <c r="AF165" s="168"/>
      <c r="AG165" s="165"/>
      <c r="AH165" s="166"/>
      <c r="AI165" s="167"/>
      <c r="AJ165" s="168"/>
      <c r="AK165" s="165"/>
      <c r="AL165" s="166"/>
      <c r="AM165" s="167"/>
      <c r="AN165" s="168"/>
      <c r="AO165" s="165"/>
      <c r="AP165" s="166"/>
      <c r="AQ165" s="167"/>
      <c r="AR165" s="168"/>
      <c r="AS165" s="165"/>
      <c r="AT165" s="166"/>
      <c r="AU165" s="167"/>
      <c r="AV165" s="168"/>
      <c r="AW165" s="23"/>
      <c r="AX165" s="23"/>
      <c r="AY165" s="23"/>
    </row>
    <row r="166" spans="1:51" s="44" customFormat="1" ht="22" customHeight="1" x14ac:dyDescent="0.2">
      <c r="A166" s="41">
        <f>'ALS 10 BAZAR'!A166</f>
        <v>0</v>
      </c>
      <c r="B166" s="165">
        <f>'ALS 10 BAZAR'!B166:E166</f>
        <v>0</v>
      </c>
      <c r="C166" s="182"/>
      <c r="D166" s="182"/>
      <c r="E166" s="166"/>
      <c r="F166" s="42">
        <f>'ALS 10 BAZAR'!F166</f>
        <v>0</v>
      </c>
      <c r="G166" s="43">
        <f>'ALS 10 BAZAR'!G166</f>
        <v>0</v>
      </c>
      <c r="H166" s="39">
        <f t="shared" si="1"/>
        <v>0</v>
      </c>
      <c r="I166" s="39"/>
      <c r="J166" s="47"/>
      <c r="K166" s="56"/>
      <c r="L166" s="57"/>
      <c r="M166" s="169"/>
      <c r="N166" s="170"/>
      <c r="O166" s="167"/>
      <c r="P166" s="168"/>
      <c r="Q166" s="165"/>
      <c r="R166" s="166"/>
      <c r="S166" s="167"/>
      <c r="T166" s="168"/>
      <c r="U166" s="165"/>
      <c r="V166" s="166"/>
      <c r="W166" s="167"/>
      <c r="X166" s="168"/>
      <c r="Y166" s="165"/>
      <c r="Z166" s="166"/>
      <c r="AA166" s="167"/>
      <c r="AB166" s="168"/>
      <c r="AC166" s="165"/>
      <c r="AD166" s="166"/>
      <c r="AE166" s="167"/>
      <c r="AF166" s="168"/>
      <c r="AG166" s="165"/>
      <c r="AH166" s="166"/>
      <c r="AI166" s="167"/>
      <c r="AJ166" s="168"/>
      <c r="AK166" s="165"/>
      <c r="AL166" s="166"/>
      <c r="AM166" s="167"/>
      <c r="AN166" s="168"/>
      <c r="AO166" s="165"/>
      <c r="AP166" s="166"/>
      <c r="AQ166" s="167"/>
      <c r="AR166" s="168"/>
      <c r="AS166" s="165"/>
      <c r="AT166" s="166"/>
      <c r="AU166" s="167"/>
      <c r="AV166" s="168"/>
      <c r="AW166" s="23"/>
      <c r="AX166" s="23"/>
      <c r="AY166" s="23"/>
    </row>
    <row r="167" spans="1:51" s="44" customFormat="1" ht="22" customHeight="1" x14ac:dyDescent="0.2">
      <c r="A167" s="41">
        <f>'ALS 10 BAZAR'!A167</f>
        <v>0</v>
      </c>
      <c r="B167" s="165">
        <f>'ALS 10 BAZAR'!B167:E167</f>
        <v>0</v>
      </c>
      <c r="C167" s="182"/>
      <c r="D167" s="182"/>
      <c r="E167" s="166"/>
      <c r="F167" s="42">
        <f>'ALS 10 BAZAR'!F167</f>
        <v>0</v>
      </c>
      <c r="G167" s="43">
        <f>'ALS 10 BAZAR'!G167</f>
        <v>0</v>
      </c>
      <c r="H167" s="39">
        <f t="shared" si="1"/>
        <v>0</v>
      </c>
      <c r="I167" s="39"/>
      <c r="J167" s="47"/>
      <c r="K167" s="56"/>
      <c r="L167" s="57"/>
      <c r="M167" s="169"/>
      <c r="N167" s="170"/>
      <c r="O167" s="167"/>
      <c r="P167" s="168"/>
      <c r="Q167" s="165"/>
      <c r="R167" s="166"/>
      <c r="S167" s="167"/>
      <c r="T167" s="168"/>
      <c r="U167" s="165"/>
      <c r="V167" s="166"/>
      <c r="W167" s="167"/>
      <c r="X167" s="168"/>
      <c r="Y167" s="165"/>
      <c r="Z167" s="166"/>
      <c r="AA167" s="167"/>
      <c r="AB167" s="168"/>
      <c r="AC167" s="165"/>
      <c r="AD167" s="166"/>
      <c r="AE167" s="167"/>
      <c r="AF167" s="168"/>
      <c r="AG167" s="165"/>
      <c r="AH167" s="166"/>
      <c r="AI167" s="167"/>
      <c r="AJ167" s="168"/>
      <c r="AK167" s="165"/>
      <c r="AL167" s="166"/>
      <c r="AM167" s="167"/>
      <c r="AN167" s="168"/>
      <c r="AO167" s="165"/>
      <c r="AP167" s="166"/>
      <c r="AQ167" s="167"/>
      <c r="AR167" s="168"/>
      <c r="AS167" s="165"/>
      <c r="AT167" s="166"/>
      <c r="AU167" s="167"/>
      <c r="AV167" s="168"/>
      <c r="AW167" s="23"/>
      <c r="AX167" s="23"/>
      <c r="AY167" s="23"/>
    </row>
    <row r="168" spans="1:51" s="44" customFormat="1" ht="22" customHeight="1" x14ac:dyDescent="0.2">
      <c r="A168" s="41" t="str">
        <f>'ALS 10 BAZAR'!A168</f>
        <v>CONFERENTE</v>
      </c>
      <c r="B168" s="165">
        <f>'ALS 10 BAZAR'!B168:E168</f>
        <v>0</v>
      </c>
      <c r="C168" s="182"/>
      <c r="D168" s="182"/>
      <c r="E168" s="166"/>
      <c r="F168" s="42">
        <f>'ALS 10 BAZAR'!F168</f>
        <v>0</v>
      </c>
      <c r="G168" s="43">
        <f>'ALS 10 BAZAR'!G168</f>
        <v>0</v>
      </c>
      <c r="H168" s="39">
        <f t="shared" si="1"/>
        <v>0</v>
      </c>
      <c r="I168" s="39"/>
      <c r="J168" s="47"/>
      <c r="K168" s="56"/>
      <c r="L168" s="57"/>
      <c r="M168" s="169"/>
      <c r="N168" s="170"/>
      <c r="O168" s="167"/>
      <c r="P168" s="168"/>
      <c r="Q168" s="165"/>
      <c r="R168" s="166"/>
      <c r="S168" s="167"/>
      <c r="T168" s="168"/>
      <c r="U168" s="165"/>
      <c r="V168" s="166"/>
      <c r="W168" s="167"/>
      <c r="X168" s="168"/>
      <c r="Y168" s="165"/>
      <c r="Z168" s="166"/>
      <c r="AA168" s="167"/>
      <c r="AB168" s="168"/>
      <c r="AC168" s="165"/>
      <c r="AD168" s="166"/>
      <c r="AE168" s="167"/>
      <c r="AF168" s="168"/>
      <c r="AG168" s="165"/>
      <c r="AH168" s="166"/>
      <c r="AI168" s="167"/>
      <c r="AJ168" s="168"/>
      <c r="AK168" s="165"/>
      <c r="AL168" s="166"/>
      <c r="AM168" s="167"/>
      <c r="AN168" s="168"/>
      <c r="AO168" s="165"/>
      <c r="AP168" s="166"/>
      <c r="AQ168" s="167"/>
      <c r="AR168" s="168"/>
      <c r="AS168" s="165"/>
      <c r="AT168" s="166"/>
      <c r="AU168" s="167"/>
      <c r="AV168" s="168"/>
      <c r="AW168" s="23"/>
      <c r="AX168" s="23"/>
      <c r="AY168" s="23"/>
    </row>
    <row r="169" spans="1:51" s="44" customFormat="1" ht="22" customHeight="1" x14ac:dyDescent="0.2">
      <c r="A169" s="41">
        <f>'ALS 10 BAZAR'!A169</f>
        <v>0</v>
      </c>
      <c r="B169" s="165">
        <f>'ALS 10 BAZAR'!B169:E169</f>
        <v>0</v>
      </c>
      <c r="C169" s="182"/>
      <c r="D169" s="182"/>
      <c r="E169" s="166"/>
      <c r="F169" s="42">
        <f>'ALS 10 BAZAR'!F169</f>
        <v>0</v>
      </c>
      <c r="G169" s="43">
        <f>'ALS 10 BAZAR'!G169</f>
        <v>0</v>
      </c>
      <c r="H169" s="39">
        <f t="shared" si="1"/>
        <v>0</v>
      </c>
      <c r="I169" s="39"/>
      <c r="J169" s="47"/>
      <c r="K169" s="56"/>
      <c r="L169" s="57"/>
      <c r="M169" s="169"/>
      <c r="N169" s="170"/>
      <c r="O169" s="167"/>
      <c r="P169" s="168"/>
      <c r="Q169" s="165"/>
      <c r="R169" s="166"/>
      <c r="S169" s="167"/>
      <c r="T169" s="168"/>
      <c r="U169" s="165"/>
      <c r="V169" s="166"/>
      <c r="W169" s="167"/>
      <c r="X169" s="168"/>
      <c r="Y169" s="165"/>
      <c r="Z169" s="166"/>
      <c r="AA169" s="167"/>
      <c r="AB169" s="168"/>
      <c r="AC169" s="165"/>
      <c r="AD169" s="166"/>
      <c r="AE169" s="167"/>
      <c r="AF169" s="168"/>
      <c r="AG169" s="165"/>
      <c r="AH169" s="166"/>
      <c r="AI169" s="167"/>
      <c r="AJ169" s="168"/>
      <c r="AK169" s="165"/>
      <c r="AL169" s="166"/>
      <c r="AM169" s="167"/>
      <c r="AN169" s="168"/>
      <c r="AO169" s="165"/>
      <c r="AP169" s="166"/>
      <c r="AQ169" s="167"/>
      <c r="AR169" s="168"/>
      <c r="AS169" s="165"/>
      <c r="AT169" s="166"/>
      <c r="AU169" s="167"/>
      <c r="AV169" s="168"/>
      <c r="AW169" s="23"/>
      <c r="AX169" s="23"/>
      <c r="AY169" s="23"/>
    </row>
    <row r="170" spans="1:51" s="44" customFormat="1" ht="22" customHeight="1" x14ac:dyDescent="0.2">
      <c r="A170" s="41" t="str">
        <f>'ALS 10 BAZAR'!A170</f>
        <v>POSSUI AVARIAS?</v>
      </c>
      <c r="B170" s="165" t="str">
        <f>'ALS 10 BAZAR'!B170:E170</f>
        <v>SIM</v>
      </c>
      <c r="C170" s="182"/>
      <c r="D170" s="182"/>
      <c r="E170" s="166"/>
      <c r="F170" s="42">
        <f>'ALS 10 BAZAR'!F170</f>
        <v>0</v>
      </c>
      <c r="G170" s="43">
        <f>'ALS 10 BAZAR'!G170</f>
        <v>0</v>
      </c>
      <c r="H170" s="39">
        <f t="shared" si="1"/>
        <v>0</v>
      </c>
      <c r="I170" s="39"/>
      <c r="J170" s="47"/>
      <c r="K170" s="56"/>
      <c r="L170" s="57"/>
      <c r="M170" s="169"/>
      <c r="N170" s="170"/>
      <c r="O170" s="167"/>
      <c r="P170" s="168"/>
      <c r="Q170" s="165"/>
      <c r="R170" s="166"/>
      <c r="S170" s="167"/>
      <c r="T170" s="168"/>
      <c r="U170" s="165"/>
      <c r="V170" s="166"/>
      <c r="W170" s="167"/>
      <c r="X170" s="168"/>
      <c r="Y170" s="165"/>
      <c r="Z170" s="166"/>
      <c r="AA170" s="167"/>
      <c r="AB170" s="168"/>
      <c r="AC170" s="165"/>
      <c r="AD170" s="166"/>
      <c r="AE170" s="167"/>
      <c r="AF170" s="168"/>
      <c r="AG170" s="165"/>
      <c r="AH170" s="166"/>
      <c r="AI170" s="167"/>
      <c r="AJ170" s="168"/>
      <c r="AK170" s="165"/>
      <c r="AL170" s="166"/>
      <c r="AM170" s="167"/>
      <c r="AN170" s="168"/>
      <c r="AO170" s="165"/>
      <c r="AP170" s="166"/>
      <c r="AQ170" s="167"/>
      <c r="AR170" s="168"/>
      <c r="AS170" s="165"/>
      <c r="AT170" s="166"/>
      <c r="AU170" s="167"/>
      <c r="AV170" s="168"/>
      <c r="AW170" s="23"/>
      <c r="AX170" s="23"/>
      <c r="AY170" s="23"/>
    </row>
    <row r="171" spans="1:51" s="44" customFormat="1" ht="22" customHeight="1" x14ac:dyDescent="0.2">
      <c r="A171" s="41">
        <f>'ALS 10 BAZAR'!A171</f>
        <v>0</v>
      </c>
      <c r="B171" s="165">
        <f>'ALS 10 BAZAR'!B171:E171</f>
        <v>0</v>
      </c>
      <c r="C171" s="182"/>
      <c r="D171" s="182"/>
      <c r="E171" s="166"/>
      <c r="F171" s="42">
        <f>'ALS 10 BAZAR'!F171</f>
        <v>0</v>
      </c>
      <c r="G171" s="43">
        <f>'ALS 10 BAZAR'!G171</f>
        <v>0</v>
      </c>
      <c r="H171" s="39">
        <f t="shared" si="1"/>
        <v>0</v>
      </c>
      <c r="I171" s="39"/>
      <c r="J171" s="47"/>
      <c r="K171" s="56"/>
      <c r="L171" s="57"/>
      <c r="M171" s="169"/>
      <c r="N171" s="170"/>
      <c r="O171" s="167"/>
      <c r="P171" s="168"/>
      <c r="Q171" s="165"/>
      <c r="R171" s="166"/>
      <c r="S171" s="167"/>
      <c r="T171" s="168"/>
      <c r="U171" s="165"/>
      <c r="V171" s="166"/>
      <c r="W171" s="167"/>
      <c r="X171" s="168"/>
      <c r="Y171" s="165"/>
      <c r="Z171" s="166"/>
      <c r="AA171" s="167"/>
      <c r="AB171" s="168"/>
      <c r="AC171" s="165"/>
      <c r="AD171" s="166"/>
      <c r="AE171" s="167"/>
      <c r="AF171" s="168"/>
      <c r="AG171" s="165"/>
      <c r="AH171" s="166"/>
      <c r="AI171" s="167"/>
      <c r="AJ171" s="168"/>
      <c r="AK171" s="165"/>
      <c r="AL171" s="166"/>
      <c r="AM171" s="167"/>
      <c r="AN171" s="168"/>
      <c r="AO171" s="165"/>
      <c r="AP171" s="166"/>
      <c r="AQ171" s="167"/>
      <c r="AR171" s="168"/>
      <c r="AS171" s="165"/>
      <c r="AT171" s="166"/>
      <c r="AU171" s="167"/>
      <c r="AV171" s="168"/>
      <c r="AW171" s="23"/>
      <c r="AX171" s="23"/>
      <c r="AY171" s="23"/>
    </row>
    <row r="172" spans="1:51" s="44" customFormat="1" ht="22" customHeight="1" x14ac:dyDescent="0.2">
      <c r="A172" s="48" t="str">
        <f>'ALS 10 BAZAR'!A168</f>
        <v>CONFERENTE</v>
      </c>
      <c r="B172" s="108"/>
      <c r="C172" s="108"/>
      <c r="D172" s="108"/>
      <c r="E172" s="108"/>
      <c r="F172" s="108"/>
      <c r="G172" s="108"/>
      <c r="H172" s="108"/>
      <c r="I172" s="39"/>
      <c r="J172" s="47"/>
      <c r="K172" s="56"/>
      <c r="L172" s="57"/>
      <c r="M172" s="169"/>
      <c r="N172" s="170"/>
      <c r="O172" s="167"/>
      <c r="P172" s="168"/>
      <c r="Q172" s="165"/>
      <c r="R172" s="166"/>
      <c r="S172" s="167"/>
      <c r="T172" s="168"/>
      <c r="U172" s="165"/>
      <c r="V172" s="166"/>
      <c r="W172" s="167"/>
      <c r="X172" s="168"/>
      <c r="Y172" s="165"/>
      <c r="Z172" s="166"/>
      <c r="AA172" s="167"/>
      <c r="AB172" s="168"/>
      <c r="AC172" s="165"/>
      <c r="AD172" s="166"/>
      <c r="AE172" s="167"/>
      <c r="AF172" s="168"/>
      <c r="AG172" s="165"/>
      <c r="AH172" s="166"/>
      <c r="AI172" s="167"/>
      <c r="AJ172" s="168"/>
      <c r="AK172" s="165"/>
      <c r="AL172" s="166"/>
      <c r="AM172" s="167"/>
      <c r="AN172" s="168"/>
      <c r="AO172" s="165"/>
      <c r="AP172" s="166"/>
      <c r="AQ172" s="167"/>
      <c r="AR172" s="168"/>
      <c r="AS172" s="165"/>
      <c r="AT172" s="166"/>
      <c r="AU172" s="167"/>
      <c r="AV172" s="168"/>
      <c r="AW172" s="23"/>
      <c r="AX172" s="23"/>
      <c r="AY172" s="23"/>
    </row>
    <row r="173" spans="1:51" s="44" customFormat="1" ht="22" customHeight="1" x14ac:dyDescent="0.2">
      <c r="A173" s="180" t="str">
        <f>'ALS 10 BAZAR'!A170</f>
        <v>POSSUI AVARIAS?</v>
      </c>
      <c r="B173" s="181"/>
      <c r="C173" s="181"/>
      <c r="D173" s="181"/>
      <c r="E173" s="181"/>
      <c r="F173" s="181"/>
      <c r="G173" s="181"/>
      <c r="H173" s="181"/>
      <c r="I173" s="39"/>
      <c r="J173" s="47"/>
      <c r="K173" s="56"/>
      <c r="L173" s="57"/>
      <c r="M173" s="169"/>
      <c r="N173" s="170"/>
      <c r="O173" s="167"/>
      <c r="P173" s="168"/>
      <c r="Q173" s="165"/>
      <c r="R173" s="166"/>
      <c r="S173" s="167"/>
      <c r="T173" s="168"/>
      <c r="U173" s="165"/>
      <c r="V173" s="166"/>
      <c r="W173" s="167"/>
      <c r="X173" s="168"/>
      <c r="Y173" s="165"/>
      <c r="Z173" s="166"/>
      <c r="AA173" s="167"/>
      <c r="AB173" s="168"/>
      <c r="AC173" s="165"/>
      <c r="AD173" s="166"/>
      <c r="AE173" s="167"/>
      <c r="AF173" s="168"/>
      <c r="AG173" s="165"/>
      <c r="AH173" s="166"/>
      <c r="AI173" s="167"/>
      <c r="AJ173" s="168"/>
      <c r="AK173" s="165"/>
      <c r="AL173" s="166"/>
      <c r="AM173" s="167"/>
      <c r="AN173" s="168"/>
      <c r="AO173" s="165"/>
      <c r="AP173" s="166"/>
      <c r="AQ173" s="167"/>
      <c r="AR173" s="168"/>
      <c r="AS173" s="165"/>
      <c r="AT173" s="166"/>
      <c r="AU173" s="167"/>
      <c r="AV173" s="168"/>
      <c r="AW173" s="23"/>
      <c r="AX173" s="23"/>
      <c r="AY173" s="23"/>
    </row>
    <row r="174" spans="1:51" s="44" customFormat="1" ht="22" customHeight="1" x14ac:dyDescent="0.2">
      <c r="A174" s="180"/>
      <c r="B174" s="181"/>
      <c r="C174" s="181"/>
      <c r="D174" s="181"/>
      <c r="E174" s="181"/>
      <c r="F174" s="181"/>
      <c r="G174" s="181"/>
      <c r="H174" s="181"/>
      <c r="I174" s="39"/>
      <c r="J174" s="47"/>
      <c r="K174" s="56"/>
      <c r="L174" s="57"/>
      <c r="M174" s="169"/>
      <c r="N174" s="170"/>
      <c r="O174" s="167"/>
      <c r="P174" s="168"/>
      <c r="Q174" s="165"/>
      <c r="R174" s="166"/>
      <c r="S174" s="167"/>
      <c r="T174" s="168"/>
      <c r="U174" s="165"/>
      <c r="V174" s="166"/>
      <c r="W174" s="167"/>
      <c r="X174" s="168"/>
      <c r="Y174" s="165"/>
      <c r="Z174" s="166"/>
      <c r="AA174" s="167"/>
      <c r="AB174" s="168"/>
      <c r="AC174" s="165"/>
      <c r="AD174" s="166"/>
      <c r="AE174" s="167"/>
      <c r="AF174" s="168"/>
      <c r="AG174" s="165"/>
      <c r="AH174" s="166"/>
      <c r="AI174" s="167"/>
      <c r="AJ174" s="168"/>
      <c r="AK174" s="165"/>
      <c r="AL174" s="166"/>
      <c r="AM174" s="167"/>
      <c r="AN174" s="168"/>
      <c r="AO174" s="165"/>
      <c r="AP174" s="166"/>
      <c r="AQ174" s="167"/>
      <c r="AR174" s="168"/>
      <c r="AS174" s="165"/>
      <c r="AT174" s="166"/>
      <c r="AU174" s="167"/>
      <c r="AV174" s="168"/>
      <c r="AW174" s="23"/>
      <c r="AX174" s="23"/>
      <c r="AY174" s="23"/>
    </row>
    <row r="175" spans="1:51" s="44" customFormat="1" ht="22" customHeight="1" x14ac:dyDescent="0.2">
      <c r="A175" s="180"/>
      <c r="B175" s="181"/>
      <c r="C175" s="181"/>
      <c r="D175" s="181"/>
      <c r="E175" s="181"/>
      <c r="F175" s="181"/>
      <c r="G175" s="181"/>
      <c r="H175" s="181"/>
      <c r="I175" s="39"/>
      <c r="J175" s="47"/>
      <c r="K175" s="56"/>
      <c r="L175" s="57"/>
      <c r="M175" s="169"/>
      <c r="N175" s="170"/>
      <c r="O175" s="167"/>
      <c r="P175" s="168"/>
      <c r="Q175" s="165"/>
      <c r="R175" s="166"/>
      <c r="S175" s="167"/>
      <c r="T175" s="168"/>
      <c r="U175" s="165"/>
      <c r="V175" s="166"/>
      <c r="W175" s="167"/>
      <c r="X175" s="168"/>
      <c r="Y175" s="165"/>
      <c r="Z175" s="166"/>
      <c r="AA175" s="167"/>
      <c r="AB175" s="168"/>
      <c r="AC175" s="165"/>
      <c r="AD175" s="166"/>
      <c r="AE175" s="167"/>
      <c r="AF175" s="168"/>
      <c r="AG175" s="165"/>
      <c r="AH175" s="166"/>
      <c r="AI175" s="167"/>
      <c r="AJ175" s="168"/>
      <c r="AK175" s="165"/>
      <c r="AL175" s="166"/>
      <c r="AM175" s="167"/>
      <c r="AN175" s="168"/>
      <c r="AO175" s="165"/>
      <c r="AP175" s="166"/>
      <c r="AQ175" s="167"/>
      <c r="AR175" s="168"/>
      <c r="AS175" s="165"/>
      <c r="AT175" s="166"/>
      <c r="AU175" s="167"/>
      <c r="AV175" s="168"/>
      <c r="AW175" s="23"/>
      <c r="AX175" s="23"/>
      <c r="AY175" s="23"/>
    </row>
    <row r="176" spans="1:51" s="44" customFormat="1" ht="22" customHeight="1" x14ac:dyDescent="0.2">
      <c r="A176" s="180"/>
      <c r="B176" s="181"/>
      <c r="C176" s="181"/>
      <c r="D176" s="181"/>
      <c r="E176" s="181"/>
      <c r="F176" s="181"/>
      <c r="G176" s="181"/>
      <c r="H176" s="181"/>
      <c r="I176" s="39"/>
      <c r="J176" s="47"/>
      <c r="K176" s="167"/>
      <c r="L176" s="168"/>
      <c r="M176" s="165"/>
      <c r="N176" s="166"/>
      <c r="O176" s="167"/>
      <c r="P176" s="168"/>
      <c r="Q176" s="165"/>
      <c r="R176" s="166"/>
      <c r="S176" s="167"/>
      <c r="T176" s="168"/>
      <c r="U176" s="165"/>
      <c r="V176" s="166"/>
      <c r="W176" s="167"/>
      <c r="X176" s="168"/>
      <c r="Y176" s="165"/>
      <c r="Z176" s="166"/>
      <c r="AA176" s="167"/>
      <c r="AB176" s="168"/>
      <c r="AC176" s="165"/>
      <c r="AD176" s="166"/>
      <c r="AE176" s="167"/>
      <c r="AF176" s="168"/>
      <c r="AG176" s="165"/>
      <c r="AH176" s="166"/>
      <c r="AI176" s="167"/>
      <c r="AJ176" s="168"/>
      <c r="AK176" s="165"/>
      <c r="AL176" s="166"/>
      <c r="AM176" s="167"/>
      <c r="AN176" s="168"/>
      <c r="AO176" s="165"/>
      <c r="AP176" s="166"/>
      <c r="AQ176" s="167"/>
      <c r="AR176" s="168"/>
      <c r="AS176" s="165"/>
      <c r="AT176" s="166"/>
      <c r="AU176" s="167"/>
      <c r="AV176" s="168"/>
      <c r="AW176" s="23"/>
      <c r="AX176" s="23"/>
      <c r="AY176" s="23"/>
    </row>
    <row r="177" spans="1:51" s="44" customFormat="1" x14ac:dyDescent="0.2">
      <c r="A177" s="180"/>
      <c r="B177" s="181"/>
      <c r="C177" s="181"/>
      <c r="D177" s="181"/>
      <c r="E177" s="181"/>
      <c r="F177" s="181"/>
      <c r="G177" s="181"/>
      <c r="H177" s="181"/>
      <c r="I177" s="39"/>
      <c r="J177" s="39"/>
      <c r="K177" s="167"/>
      <c r="L177" s="168"/>
      <c r="M177" s="165"/>
      <c r="N177" s="166"/>
      <c r="O177" s="167"/>
      <c r="P177" s="168"/>
      <c r="Q177" s="165"/>
      <c r="R177" s="166"/>
      <c r="S177" s="167"/>
      <c r="T177" s="168"/>
      <c r="U177" s="165"/>
      <c r="V177" s="166"/>
      <c r="W177" s="167"/>
      <c r="X177" s="168"/>
      <c r="Y177" s="165"/>
      <c r="Z177" s="166"/>
      <c r="AA177" s="167"/>
      <c r="AB177" s="168"/>
      <c r="AC177" s="165"/>
      <c r="AD177" s="166"/>
      <c r="AE177" s="167"/>
      <c r="AF177" s="168"/>
      <c r="AG177" s="165"/>
      <c r="AH177" s="166"/>
      <c r="AI177" s="167"/>
      <c r="AJ177" s="168"/>
      <c r="AK177" s="165"/>
      <c r="AL177" s="166"/>
      <c r="AM177" s="167"/>
      <c r="AN177" s="168"/>
      <c r="AO177" s="165"/>
      <c r="AP177" s="166"/>
      <c r="AQ177" s="167"/>
      <c r="AR177" s="168"/>
      <c r="AS177" s="108"/>
      <c r="AT177" s="108"/>
      <c r="AU177" s="171"/>
      <c r="AV177" s="171"/>
      <c r="AW177" s="23"/>
      <c r="AX177" s="23"/>
      <c r="AY177" s="23"/>
    </row>
    <row r="178" spans="1:51" x14ac:dyDescent="0.2">
      <c r="AS178" s="90"/>
      <c r="AT178" s="90"/>
      <c r="AU178" s="90"/>
      <c r="AV178" s="90"/>
    </row>
    <row r="179" spans="1:51" x14ac:dyDescent="0.2">
      <c r="AS179" s="90"/>
      <c r="AT179" s="90"/>
      <c r="AU179" s="90"/>
      <c r="AV179" s="90"/>
    </row>
    <row r="180" spans="1:51" s="2" customFormat="1" x14ac:dyDescent="0.2">
      <c r="K180" s="11"/>
      <c r="L180" s="11"/>
      <c r="M180" s="11"/>
      <c r="N180" s="11"/>
      <c r="O180" s="11"/>
      <c r="P180" s="11"/>
      <c r="Q180" s="11"/>
      <c r="AS180" s="90"/>
      <c r="AT180" s="90"/>
      <c r="AU180" s="90"/>
      <c r="AV180" s="90"/>
    </row>
    <row r="181" spans="1:51" s="2" customFormat="1" x14ac:dyDescent="0.2">
      <c r="K181" s="12"/>
      <c r="L181" s="12"/>
      <c r="M181" s="12"/>
      <c r="N181" s="12"/>
      <c r="O181" s="12"/>
      <c r="P181" s="12"/>
      <c r="Q181" s="12"/>
      <c r="AS181" s="90"/>
      <c r="AT181" s="90"/>
      <c r="AU181" s="90"/>
      <c r="AV181" s="90"/>
    </row>
    <row r="182" spans="1:51" s="2" customFormat="1" x14ac:dyDescent="0.2">
      <c r="K182" s="11"/>
      <c r="L182" s="11"/>
      <c r="M182" s="11"/>
      <c r="N182" s="11"/>
      <c r="O182" s="11"/>
      <c r="P182" s="11"/>
      <c r="Q182" s="11"/>
      <c r="AS182" s="90"/>
      <c r="AT182" s="90"/>
      <c r="AU182" s="90"/>
      <c r="AV182" s="90"/>
    </row>
    <row r="183" spans="1:51" s="2" customFormat="1" x14ac:dyDescent="0.2">
      <c r="K183" s="11"/>
      <c r="L183" s="11"/>
      <c r="M183" s="11"/>
      <c r="N183" s="11"/>
      <c r="O183" s="11"/>
      <c r="P183" s="11"/>
      <c r="Q183" s="11"/>
      <c r="AS183" s="90"/>
      <c r="AT183" s="90"/>
      <c r="AU183" s="90"/>
      <c r="AV183" s="90"/>
    </row>
  </sheetData>
  <mergeCells count="3260">
    <mergeCell ref="AU80:AV80"/>
    <mergeCell ref="AU81:AV81"/>
    <mergeCell ref="AU82:AV82"/>
    <mergeCell ref="AU83:AV83"/>
    <mergeCell ref="AU84:AV84"/>
    <mergeCell ref="AU85:AV85"/>
    <mergeCell ref="AU86:AV86"/>
    <mergeCell ref="AU87:AV87"/>
    <mergeCell ref="AU88:AV88"/>
    <mergeCell ref="AU89:AV89"/>
    <mergeCell ref="AU90:AV90"/>
    <mergeCell ref="AU63:AV63"/>
    <mergeCell ref="AU64:AV64"/>
    <mergeCell ref="AU65:AV65"/>
    <mergeCell ref="AU66:AV66"/>
    <mergeCell ref="AU67:AV67"/>
    <mergeCell ref="AU68:AV68"/>
    <mergeCell ref="AU69:AV69"/>
    <mergeCell ref="AU70:AV70"/>
    <mergeCell ref="AU71:AV71"/>
    <mergeCell ref="AU72:AV72"/>
    <mergeCell ref="AU73:AV73"/>
    <mergeCell ref="AU74:AV74"/>
    <mergeCell ref="AU75:AV75"/>
    <mergeCell ref="AU76:AV76"/>
    <mergeCell ref="AU77:AV77"/>
    <mergeCell ref="AU78:AV78"/>
    <mergeCell ref="AU79:AV79"/>
    <mergeCell ref="AU46:AV46"/>
    <mergeCell ref="AU47:AV47"/>
    <mergeCell ref="AU48:AV48"/>
    <mergeCell ref="AU49:AV49"/>
    <mergeCell ref="AU50:AV50"/>
    <mergeCell ref="AU51:AV51"/>
    <mergeCell ref="AU52:AV52"/>
    <mergeCell ref="AU53:AV53"/>
    <mergeCell ref="AU54:AV54"/>
    <mergeCell ref="AU55:AV55"/>
    <mergeCell ref="AU56:AV56"/>
    <mergeCell ref="AU57:AV57"/>
    <mergeCell ref="AU58:AV58"/>
    <mergeCell ref="AU59:AV59"/>
    <mergeCell ref="AU60:AV60"/>
    <mergeCell ref="AU61:AV61"/>
    <mergeCell ref="AU62:AV62"/>
    <mergeCell ref="AU29:AV29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39:AV39"/>
    <mergeCell ref="AU40:AV40"/>
    <mergeCell ref="AU41:AV41"/>
    <mergeCell ref="AU42:AV42"/>
    <mergeCell ref="AU43:AV43"/>
    <mergeCell ref="AU44:AV44"/>
    <mergeCell ref="AU45:AV45"/>
    <mergeCell ref="AS78:AT78"/>
    <mergeCell ref="AS79:AT79"/>
    <mergeCell ref="AS80:AT80"/>
    <mergeCell ref="AS81:AT81"/>
    <mergeCell ref="AS82:AT82"/>
    <mergeCell ref="AS83:AT83"/>
    <mergeCell ref="AS84:AT84"/>
    <mergeCell ref="AS85:AT85"/>
    <mergeCell ref="AS86:AT86"/>
    <mergeCell ref="AS87:AT87"/>
    <mergeCell ref="AS88:AT88"/>
    <mergeCell ref="AS89:AT89"/>
    <mergeCell ref="AS90:AT90"/>
    <mergeCell ref="AU10:AV10"/>
    <mergeCell ref="AU11:AV11"/>
    <mergeCell ref="AU12:AV12"/>
    <mergeCell ref="AU13:AV13"/>
    <mergeCell ref="AU14:AV14"/>
    <mergeCell ref="AU15:AV15"/>
    <mergeCell ref="AU16:AV16"/>
    <mergeCell ref="AU17:AV17"/>
    <mergeCell ref="AU18:AV18"/>
    <mergeCell ref="AU19:AV19"/>
    <mergeCell ref="AU20:AV20"/>
    <mergeCell ref="AU21:AV21"/>
    <mergeCell ref="AU22:AV22"/>
    <mergeCell ref="AU23:AV23"/>
    <mergeCell ref="AU24:AV24"/>
    <mergeCell ref="AU25:AV25"/>
    <mergeCell ref="AU26:AV26"/>
    <mergeCell ref="AU27:AV27"/>
    <mergeCell ref="AU28:AV28"/>
    <mergeCell ref="AS61:AT61"/>
    <mergeCell ref="AS62:AT62"/>
    <mergeCell ref="AS63:AT63"/>
    <mergeCell ref="AS64:AT64"/>
    <mergeCell ref="AS65:AT65"/>
    <mergeCell ref="AS66:AT66"/>
    <mergeCell ref="AS67:AT67"/>
    <mergeCell ref="AS68:AT68"/>
    <mergeCell ref="AS69:AT69"/>
    <mergeCell ref="AS70:AT70"/>
    <mergeCell ref="AS71:AT71"/>
    <mergeCell ref="AS72:AT72"/>
    <mergeCell ref="AS73:AT73"/>
    <mergeCell ref="AS74:AT74"/>
    <mergeCell ref="AS75:AT75"/>
    <mergeCell ref="AS76:AT76"/>
    <mergeCell ref="AS77:AT77"/>
    <mergeCell ref="AS44:AT44"/>
    <mergeCell ref="AS45:AT45"/>
    <mergeCell ref="AS46:AT46"/>
    <mergeCell ref="AS47:AT47"/>
    <mergeCell ref="AS48:AT48"/>
    <mergeCell ref="AS49:AT49"/>
    <mergeCell ref="AS50:AT50"/>
    <mergeCell ref="AS51:AT51"/>
    <mergeCell ref="AS52:AT52"/>
    <mergeCell ref="AS53:AT53"/>
    <mergeCell ref="AS54:AT54"/>
    <mergeCell ref="AS55:AT55"/>
    <mergeCell ref="AS56:AT56"/>
    <mergeCell ref="AS57:AT57"/>
    <mergeCell ref="AS58:AT58"/>
    <mergeCell ref="AS59:AT59"/>
    <mergeCell ref="AS60:AT60"/>
    <mergeCell ref="AS27:AT27"/>
    <mergeCell ref="AS28:AT28"/>
    <mergeCell ref="AS29:AT29"/>
    <mergeCell ref="AS30:AT30"/>
    <mergeCell ref="AS31:AT31"/>
    <mergeCell ref="AS32:AT32"/>
    <mergeCell ref="AS33:AT33"/>
    <mergeCell ref="AS34:AT34"/>
    <mergeCell ref="AS35:AT35"/>
    <mergeCell ref="AS36:AT36"/>
    <mergeCell ref="AS37:AT37"/>
    <mergeCell ref="AS38:AT38"/>
    <mergeCell ref="AS39:AT39"/>
    <mergeCell ref="AS40:AT40"/>
    <mergeCell ref="AS41:AT41"/>
    <mergeCell ref="AS42:AT42"/>
    <mergeCell ref="AS43:AT43"/>
    <mergeCell ref="AS10:AT10"/>
    <mergeCell ref="AS11:AT11"/>
    <mergeCell ref="AS12:AT12"/>
    <mergeCell ref="AS13:AT13"/>
    <mergeCell ref="AS14:AT14"/>
    <mergeCell ref="AS15:AT15"/>
    <mergeCell ref="AS16:AT16"/>
    <mergeCell ref="AS17:AT17"/>
    <mergeCell ref="AS18:AT18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Q88:AR88"/>
    <mergeCell ref="AQ89:AR89"/>
    <mergeCell ref="AQ90:AR90"/>
    <mergeCell ref="AQ139:AR139"/>
    <mergeCell ref="AQ140:AR140"/>
    <mergeCell ref="AQ141:AR141"/>
    <mergeCell ref="AQ142:AR142"/>
    <mergeCell ref="AQ143:AR143"/>
    <mergeCell ref="AQ144:AR144"/>
    <mergeCell ref="AQ145:AR145"/>
    <mergeCell ref="AQ146:AR146"/>
    <mergeCell ref="AQ147:AR147"/>
    <mergeCell ref="AQ148:AR148"/>
    <mergeCell ref="AQ149:AR149"/>
    <mergeCell ref="AQ150:AR150"/>
    <mergeCell ref="AQ153:AR153"/>
    <mergeCell ref="AQ154:AR154"/>
    <mergeCell ref="AQ99:AR99"/>
    <mergeCell ref="AQ100:AR100"/>
    <mergeCell ref="AQ101:AR101"/>
    <mergeCell ref="AQ102:AR102"/>
    <mergeCell ref="AQ94:AR94"/>
    <mergeCell ref="AQ95:AR95"/>
    <mergeCell ref="AQ96:AR96"/>
    <mergeCell ref="AQ71:AR71"/>
    <mergeCell ref="AQ72:AR72"/>
    <mergeCell ref="AQ73:AR73"/>
    <mergeCell ref="AQ74:AR74"/>
    <mergeCell ref="AQ75:AR75"/>
    <mergeCell ref="AQ76:AR76"/>
    <mergeCell ref="AQ77:AR77"/>
    <mergeCell ref="AQ78:AR78"/>
    <mergeCell ref="AQ79:AR79"/>
    <mergeCell ref="AQ80:AR80"/>
    <mergeCell ref="AQ81:AR81"/>
    <mergeCell ref="AQ82:AR82"/>
    <mergeCell ref="AQ83:AR83"/>
    <mergeCell ref="AQ84:AR84"/>
    <mergeCell ref="AQ85:AR85"/>
    <mergeCell ref="AQ86:AR86"/>
    <mergeCell ref="AQ87:AR87"/>
    <mergeCell ref="AQ54:AR54"/>
    <mergeCell ref="AQ55:AR55"/>
    <mergeCell ref="AQ56:AR56"/>
    <mergeCell ref="AQ57:AR57"/>
    <mergeCell ref="AQ58:AR58"/>
    <mergeCell ref="AQ59:AR59"/>
    <mergeCell ref="AQ60:AR60"/>
    <mergeCell ref="AQ61:AR61"/>
    <mergeCell ref="AQ62:AR62"/>
    <mergeCell ref="AQ63:AR63"/>
    <mergeCell ref="AQ64:AR64"/>
    <mergeCell ref="AQ65:AR65"/>
    <mergeCell ref="AQ66:AR66"/>
    <mergeCell ref="AQ67:AR67"/>
    <mergeCell ref="AQ68:AR68"/>
    <mergeCell ref="AQ69:AR69"/>
    <mergeCell ref="AQ70:AR70"/>
    <mergeCell ref="AQ37:AR37"/>
    <mergeCell ref="AQ38:AR38"/>
    <mergeCell ref="AQ39:AR39"/>
    <mergeCell ref="AQ40:AR40"/>
    <mergeCell ref="AQ41:AR41"/>
    <mergeCell ref="AQ42:AR42"/>
    <mergeCell ref="AQ43:AR43"/>
    <mergeCell ref="AQ44:AR44"/>
    <mergeCell ref="AQ45:AR45"/>
    <mergeCell ref="AQ46:AR46"/>
    <mergeCell ref="AQ47:AR47"/>
    <mergeCell ref="AQ48:AR48"/>
    <mergeCell ref="AQ49:AR49"/>
    <mergeCell ref="AQ50:AR50"/>
    <mergeCell ref="AQ51:AR51"/>
    <mergeCell ref="AQ52:AR52"/>
    <mergeCell ref="AQ53:AR53"/>
    <mergeCell ref="AO86:AP86"/>
    <mergeCell ref="AO87:AP87"/>
    <mergeCell ref="AO88:AP88"/>
    <mergeCell ref="AO89:AP89"/>
    <mergeCell ref="AO90:AP90"/>
    <mergeCell ref="AQ10:AR10"/>
    <mergeCell ref="AQ11:AR11"/>
    <mergeCell ref="AQ12:AR12"/>
    <mergeCell ref="AQ13:AR13"/>
    <mergeCell ref="AQ14:AR1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Q24:AR24"/>
    <mergeCell ref="AQ25:AR25"/>
    <mergeCell ref="AQ26:AR26"/>
    <mergeCell ref="AQ27:AR27"/>
    <mergeCell ref="AQ28:AR28"/>
    <mergeCell ref="AQ29:AR29"/>
    <mergeCell ref="AQ30:AR30"/>
    <mergeCell ref="AQ31:AR31"/>
    <mergeCell ref="AQ32:AR32"/>
    <mergeCell ref="AQ33:AR33"/>
    <mergeCell ref="AQ34:AR34"/>
    <mergeCell ref="AQ35:AR35"/>
    <mergeCell ref="AQ36:AR36"/>
    <mergeCell ref="AO69:AP69"/>
    <mergeCell ref="AO70:AP70"/>
    <mergeCell ref="AO71:AP71"/>
    <mergeCell ref="AO72:AP72"/>
    <mergeCell ref="AO73:AP73"/>
    <mergeCell ref="AO74:AP74"/>
    <mergeCell ref="AO75:AP75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O85:AP85"/>
    <mergeCell ref="AO52:AP52"/>
    <mergeCell ref="AO53:AP53"/>
    <mergeCell ref="AO54:AP54"/>
    <mergeCell ref="AO55:AP55"/>
    <mergeCell ref="AO56:AP56"/>
    <mergeCell ref="AO57:AP57"/>
    <mergeCell ref="AO58:AP58"/>
    <mergeCell ref="AO59:AP59"/>
    <mergeCell ref="AO60:AP60"/>
    <mergeCell ref="AO61:AP61"/>
    <mergeCell ref="AO62:AP62"/>
    <mergeCell ref="AO63:AP63"/>
    <mergeCell ref="AO64:AP64"/>
    <mergeCell ref="AO65:AP65"/>
    <mergeCell ref="AO66:AP66"/>
    <mergeCell ref="AO67:AP67"/>
    <mergeCell ref="AO68:AP68"/>
    <mergeCell ref="AO35:AP35"/>
    <mergeCell ref="AO36:AP36"/>
    <mergeCell ref="AO37:AP37"/>
    <mergeCell ref="AO38:AP38"/>
    <mergeCell ref="AO39:AP39"/>
    <mergeCell ref="AO40:AP40"/>
    <mergeCell ref="AO41:AP41"/>
    <mergeCell ref="AO42:AP42"/>
    <mergeCell ref="AO43:AP43"/>
    <mergeCell ref="AO44:AP44"/>
    <mergeCell ref="AO45:AP45"/>
    <mergeCell ref="AO46:AP46"/>
    <mergeCell ref="AO47:AP47"/>
    <mergeCell ref="AO48:AP48"/>
    <mergeCell ref="AO49:AP49"/>
    <mergeCell ref="AO50:AP50"/>
    <mergeCell ref="AO51:AP51"/>
    <mergeCell ref="AM156:AN156"/>
    <mergeCell ref="AM157:AN157"/>
    <mergeCell ref="AM158:AN158"/>
    <mergeCell ref="AM159:AN159"/>
    <mergeCell ref="AM160:AN160"/>
    <mergeCell ref="AM161:AN161"/>
    <mergeCell ref="AM162:AN162"/>
    <mergeCell ref="AO10:AP10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O34:AP34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139:AN139"/>
    <mergeCell ref="AM140:AN140"/>
    <mergeCell ref="AM141:AN141"/>
    <mergeCell ref="AM142:AN142"/>
    <mergeCell ref="AM143:AN143"/>
    <mergeCell ref="AM144:AN144"/>
    <mergeCell ref="AM112:AN112"/>
    <mergeCell ref="AM113:AN113"/>
    <mergeCell ref="AM114:AN114"/>
    <mergeCell ref="AM115:AN115"/>
    <mergeCell ref="AM116:AN116"/>
    <mergeCell ref="AM107:AN107"/>
    <mergeCell ref="AM108:AN108"/>
    <mergeCell ref="AM109:AN109"/>
    <mergeCell ref="AM110:AN110"/>
    <mergeCell ref="AM111:AN111"/>
    <mergeCell ref="AM102:AN102"/>
    <mergeCell ref="AM103:AN103"/>
    <mergeCell ref="AM104:AN104"/>
    <mergeCell ref="AM105:AN105"/>
    <mergeCell ref="AM106:AN106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K78:AL78"/>
    <mergeCell ref="AK79:AL79"/>
    <mergeCell ref="AK80:AL80"/>
    <mergeCell ref="AK81:AL81"/>
    <mergeCell ref="AK82:AL82"/>
    <mergeCell ref="AK83:AL83"/>
    <mergeCell ref="AK84:AL84"/>
    <mergeCell ref="AK85:AL85"/>
    <mergeCell ref="AK86:AL86"/>
    <mergeCell ref="AK87:AL87"/>
    <mergeCell ref="AK88:AL88"/>
    <mergeCell ref="AK89:AL89"/>
    <mergeCell ref="AK90:AL90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K61:AL61"/>
    <mergeCell ref="AK62:AL62"/>
    <mergeCell ref="AK63:AL63"/>
    <mergeCell ref="AK64:AL64"/>
    <mergeCell ref="AK65:AL65"/>
    <mergeCell ref="AK66:AL66"/>
    <mergeCell ref="AK67:AL67"/>
    <mergeCell ref="AK68:AL68"/>
    <mergeCell ref="AK69:AL69"/>
    <mergeCell ref="AK70:AL70"/>
    <mergeCell ref="AK71:AL71"/>
    <mergeCell ref="AK72:AL72"/>
    <mergeCell ref="AK73:AL73"/>
    <mergeCell ref="AK74:AL74"/>
    <mergeCell ref="AK75:AL75"/>
    <mergeCell ref="AK76:AL76"/>
    <mergeCell ref="AK77:AL77"/>
    <mergeCell ref="AK44:AL4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  <mergeCell ref="AK54:AL54"/>
    <mergeCell ref="AK55:AL55"/>
    <mergeCell ref="AK56:AL56"/>
    <mergeCell ref="AK57:AL57"/>
    <mergeCell ref="AK58:AL58"/>
    <mergeCell ref="AK59:AL59"/>
    <mergeCell ref="AK60:AL60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K35:AL35"/>
    <mergeCell ref="AK36:AL36"/>
    <mergeCell ref="AK37:AL37"/>
    <mergeCell ref="AK38:AL38"/>
    <mergeCell ref="AK39:AL39"/>
    <mergeCell ref="AK40:AL40"/>
    <mergeCell ref="AK41:AL41"/>
    <mergeCell ref="AK42:AL42"/>
    <mergeCell ref="AK43:AL43"/>
    <mergeCell ref="AK10:AL10"/>
    <mergeCell ref="AK11:AL11"/>
    <mergeCell ref="AK12:AL12"/>
    <mergeCell ref="AK13:AL13"/>
    <mergeCell ref="AK14:AL14"/>
    <mergeCell ref="AK15:AL15"/>
    <mergeCell ref="AK16:AL16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25:AL25"/>
    <mergeCell ref="AK26:AL26"/>
    <mergeCell ref="AI146:AJ146"/>
    <mergeCell ref="AI147:AJ147"/>
    <mergeCell ref="AI148:AJ148"/>
    <mergeCell ref="AI149:AJ149"/>
    <mergeCell ref="AI150:AJ150"/>
    <mergeCell ref="AI153:AJ153"/>
    <mergeCell ref="AI154:AJ154"/>
    <mergeCell ref="AI113:AJ113"/>
    <mergeCell ref="AI114:AJ114"/>
    <mergeCell ref="AI115:AJ115"/>
    <mergeCell ref="AI116:AJ116"/>
    <mergeCell ref="AI117:AJ117"/>
    <mergeCell ref="AI108:AJ108"/>
    <mergeCell ref="AI109:AJ109"/>
    <mergeCell ref="AI110:AJ110"/>
    <mergeCell ref="AI111:AJ111"/>
    <mergeCell ref="AI112:AJ112"/>
    <mergeCell ref="AI80:AJ80"/>
    <mergeCell ref="AI81:AJ81"/>
    <mergeCell ref="AI82:AJ82"/>
    <mergeCell ref="AI83:AJ83"/>
    <mergeCell ref="AI84:AJ84"/>
    <mergeCell ref="AI85:AJ85"/>
    <mergeCell ref="AI86:AJ86"/>
    <mergeCell ref="AI87:AJ87"/>
    <mergeCell ref="AI88:AJ88"/>
    <mergeCell ref="AI89:AJ89"/>
    <mergeCell ref="AI90:AJ90"/>
    <mergeCell ref="AI139:AJ139"/>
    <mergeCell ref="AI140:AJ140"/>
    <mergeCell ref="AI141:AJ141"/>
    <mergeCell ref="AI142:AJ142"/>
    <mergeCell ref="AI103:AJ103"/>
    <mergeCell ref="AI104:AJ104"/>
    <mergeCell ref="AI105:AJ105"/>
    <mergeCell ref="AI106:AJ106"/>
    <mergeCell ref="AI107:AJ107"/>
    <mergeCell ref="AI63:AJ63"/>
    <mergeCell ref="AI64:AJ64"/>
    <mergeCell ref="AI65:AJ65"/>
    <mergeCell ref="AI66:AJ66"/>
    <mergeCell ref="AI67:AJ67"/>
    <mergeCell ref="AI68:AJ68"/>
    <mergeCell ref="AI69:AJ69"/>
    <mergeCell ref="AI70:AJ70"/>
    <mergeCell ref="AI71:AJ71"/>
    <mergeCell ref="AI72:AJ72"/>
    <mergeCell ref="AI73:AJ73"/>
    <mergeCell ref="AI74:AJ74"/>
    <mergeCell ref="AI75:AJ75"/>
    <mergeCell ref="AI76:AJ76"/>
    <mergeCell ref="AI77:AJ77"/>
    <mergeCell ref="AI78:AJ78"/>
    <mergeCell ref="AI79:AJ79"/>
    <mergeCell ref="AI46:AJ46"/>
    <mergeCell ref="AI47:AJ47"/>
    <mergeCell ref="AI48:AJ48"/>
    <mergeCell ref="AI49:AJ49"/>
    <mergeCell ref="AI50:AJ50"/>
    <mergeCell ref="AI51:AJ51"/>
    <mergeCell ref="AI52:AJ52"/>
    <mergeCell ref="AI53:AJ53"/>
    <mergeCell ref="AI54:AJ54"/>
    <mergeCell ref="AI55:AJ55"/>
    <mergeCell ref="AI56:AJ56"/>
    <mergeCell ref="AI57:AJ57"/>
    <mergeCell ref="AI58:AJ58"/>
    <mergeCell ref="AI59:AJ59"/>
    <mergeCell ref="AI60:AJ60"/>
    <mergeCell ref="AI61:AJ61"/>
    <mergeCell ref="AI62:AJ62"/>
    <mergeCell ref="AI29:AJ29"/>
    <mergeCell ref="AI30:AJ30"/>
    <mergeCell ref="AI31:AJ31"/>
    <mergeCell ref="AI32:AJ32"/>
    <mergeCell ref="AI33:AJ33"/>
    <mergeCell ref="AI34:AJ34"/>
    <mergeCell ref="AI35:AJ35"/>
    <mergeCell ref="AI36:AJ36"/>
    <mergeCell ref="AI37:AJ37"/>
    <mergeCell ref="AI38:AJ38"/>
    <mergeCell ref="AI39:AJ39"/>
    <mergeCell ref="AI40:AJ40"/>
    <mergeCell ref="AI41:AJ41"/>
    <mergeCell ref="AI42:AJ42"/>
    <mergeCell ref="AI43:AJ43"/>
    <mergeCell ref="AI44:AJ44"/>
    <mergeCell ref="AI45:AJ45"/>
    <mergeCell ref="AG78:AH78"/>
    <mergeCell ref="AG79:AH79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89:AH89"/>
    <mergeCell ref="AG90:AH90"/>
    <mergeCell ref="AI10:AJ10"/>
    <mergeCell ref="AI11:AJ11"/>
    <mergeCell ref="AI12:AJ12"/>
    <mergeCell ref="AI13:AJ13"/>
    <mergeCell ref="AI14:AJ14"/>
    <mergeCell ref="AI15:AJ15"/>
    <mergeCell ref="AI16:AJ16"/>
    <mergeCell ref="AI17:AJ17"/>
    <mergeCell ref="AI18:AJ18"/>
    <mergeCell ref="AI19:AJ19"/>
    <mergeCell ref="AI20:AJ20"/>
    <mergeCell ref="AI21:AJ21"/>
    <mergeCell ref="AI22:AJ22"/>
    <mergeCell ref="AI23:AJ23"/>
    <mergeCell ref="AI24:AJ24"/>
    <mergeCell ref="AI25:AJ25"/>
    <mergeCell ref="AI26:AJ26"/>
    <mergeCell ref="AI27:AJ27"/>
    <mergeCell ref="AI28:AJ28"/>
    <mergeCell ref="AG61:AH61"/>
    <mergeCell ref="AG62:AH62"/>
    <mergeCell ref="AG63:AH63"/>
    <mergeCell ref="AG64:AH64"/>
    <mergeCell ref="AG65:AH65"/>
    <mergeCell ref="AG66:AH66"/>
    <mergeCell ref="AG67:AH67"/>
    <mergeCell ref="AG68:AH68"/>
    <mergeCell ref="AG69:AH69"/>
    <mergeCell ref="AG70:AH70"/>
    <mergeCell ref="AG71:AH71"/>
    <mergeCell ref="AG72:AH72"/>
    <mergeCell ref="AG73:AH73"/>
    <mergeCell ref="AG74:AH74"/>
    <mergeCell ref="AG75:AH75"/>
    <mergeCell ref="AG76:AH76"/>
    <mergeCell ref="AG77:AH77"/>
    <mergeCell ref="AG44:AH44"/>
    <mergeCell ref="AG45:AH45"/>
    <mergeCell ref="AG46:AH46"/>
    <mergeCell ref="AG47:AH47"/>
    <mergeCell ref="AG48:AH48"/>
    <mergeCell ref="AG49:AH49"/>
    <mergeCell ref="AG50:AH50"/>
    <mergeCell ref="AG51:AH51"/>
    <mergeCell ref="AG52:AH52"/>
    <mergeCell ref="AG53:AH53"/>
    <mergeCell ref="AG54:AH54"/>
    <mergeCell ref="AG55:AH55"/>
    <mergeCell ref="AG56:AH56"/>
    <mergeCell ref="AG57:AH57"/>
    <mergeCell ref="AG58:AH58"/>
    <mergeCell ref="AG59:AH59"/>
    <mergeCell ref="AG60:AH60"/>
    <mergeCell ref="AG27:AH27"/>
    <mergeCell ref="AG28:AH28"/>
    <mergeCell ref="AG29:AH29"/>
    <mergeCell ref="AG30:AH30"/>
    <mergeCell ref="AG31:AH31"/>
    <mergeCell ref="AG32:AH32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88:AF88"/>
    <mergeCell ref="AE89:AF89"/>
    <mergeCell ref="AE90:AF90"/>
    <mergeCell ref="AE156:AF156"/>
    <mergeCell ref="AE157:AF157"/>
    <mergeCell ref="AE158:AF158"/>
    <mergeCell ref="AE159:AF159"/>
    <mergeCell ref="AE161:AF161"/>
    <mergeCell ref="AE162:AF162"/>
    <mergeCell ref="AE63:AF63"/>
    <mergeCell ref="AE64:AF64"/>
    <mergeCell ref="AE65:AF65"/>
    <mergeCell ref="AE66:AF66"/>
    <mergeCell ref="AE67:AF67"/>
    <mergeCell ref="AE68:AF68"/>
    <mergeCell ref="AE69:AF69"/>
    <mergeCell ref="AE70:AF70"/>
    <mergeCell ref="AE71:AF71"/>
    <mergeCell ref="AE72:AF72"/>
    <mergeCell ref="AE73:AF73"/>
    <mergeCell ref="AE74:AF74"/>
    <mergeCell ref="AE75:AF75"/>
    <mergeCell ref="AE76:AF76"/>
    <mergeCell ref="AE77:AF77"/>
    <mergeCell ref="AE78:AF78"/>
    <mergeCell ref="AE79:AF79"/>
    <mergeCell ref="AE46:AF46"/>
    <mergeCell ref="AE47:AF47"/>
    <mergeCell ref="AE48:AF48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61:AF61"/>
    <mergeCell ref="AE62:AF62"/>
    <mergeCell ref="AE29:AF29"/>
    <mergeCell ref="AE30:AF30"/>
    <mergeCell ref="AE31:AF31"/>
    <mergeCell ref="AE32:AF32"/>
    <mergeCell ref="AE33:AF33"/>
    <mergeCell ref="AE34:AF34"/>
    <mergeCell ref="AE35:AF35"/>
    <mergeCell ref="AE36:AF36"/>
    <mergeCell ref="AE37:AF37"/>
    <mergeCell ref="AE38:AF38"/>
    <mergeCell ref="AE39:AF39"/>
    <mergeCell ref="AE40:AF40"/>
    <mergeCell ref="AE41:AF41"/>
    <mergeCell ref="AE42:AF42"/>
    <mergeCell ref="AE43:AF43"/>
    <mergeCell ref="AE44:AF44"/>
    <mergeCell ref="AE45:AF4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87:AD87"/>
    <mergeCell ref="AC88:AD88"/>
    <mergeCell ref="AC89:AD89"/>
    <mergeCell ref="AC90:AD90"/>
    <mergeCell ref="AE10:AF10"/>
    <mergeCell ref="AE11:AF11"/>
    <mergeCell ref="AE12:AF12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25:AF25"/>
    <mergeCell ref="AE26:AF26"/>
    <mergeCell ref="AE27:AF27"/>
    <mergeCell ref="AE28:AF28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44:AD44"/>
    <mergeCell ref="AC45:AD45"/>
    <mergeCell ref="AC46:AD46"/>
    <mergeCell ref="AC47:AD47"/>
    <mergeCell ref="AC48:AD48"/>
    <mergeCell ref="AC49:AD49"/>
    <mergeCell ref="AC50:AD50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60:AD60"/>
    <mergeCell ref="AC27:AD27"/>
    <mergeCell ref="AC28:AD28"/>
    <mergeCell ref="AC29:AD29"/>
    <mergeCell ref="AC30:AD30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42:AD42"/>
    <mergeCell ref="AC43:AD43"/>
    <mergeCell ref="AC10:AD10"/>
    <mergeCell ref="AC11:AD11"/>
    <mergeCell ref="AC12:AD12"/>
    <mergeCell ref="AC13:AD13"/>
    <mergeCell ref="AC14:AD14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24:AD24"/>
    <mergeCell ref="AC25:AD25"/>
    <mergeCell ref="AC26:AD26"/>
    <mergeCell ref="AA82:AB82"/>
    <mergeCell ref="AA83:AB83"/>
    <mergeCell ref="AA84:AB84"/>
    <mergeCell ref="AA85:AB85"/>
    <mergeCell ref="AA86:AB86"/>
    <mergeCell ref="AA87:AB87"/>
    <mergeCell ref="AA88:AB88"/>
    <mergeCell ref="AA89:AB89"/>
    <mergeCell ref="AA90:AB90"/>
    <mergeCell ref="AA139:AB139"/>
    <mergeCell ref="AA140:AB140"/>
    <mergeCell ref="AA141:AB141"/>
    <mergeCell ref="AA106:AB106"/>
    <mergeCell ref="AA107:AB107"/>
    <mergeCell ref="AA108:AB108"/>
    <mergeCell ref="AA109:AB109"/>
    <mergeCell ref="AA110:AB110"/>
    <mergeCell ref="AA101:AB101"/>
    <mergeCell ref="AA102:AB102"/>
    <mergeCell ref="AA103:AB103"/>
    <mergeCell ref="AA104:AB104"/>
    <mergeCell ref="AA105:AB105"/>
    <mergeCell ref="AA116:AB116"/>
    <mergeCell ref="AA117:AB117"/>
    <mergeCell ref="AA118:AB118"/>
    <mergeCell ref="AA119:AB119"/>
    <mergeCell ref="AA120:AB120"/>
    <mergeCell ref="AA113:AB113"/>
    <mergeCell ref="AA114:AB114"/>
    <mergeCell ref="AA115:AB115"/>
    <mergeCell ref="AA65:AB65"/>
    <mergeCell ref="AA66:AB66"/>
    <mergeCell ref="AA67:AB67"/>
    <mergeCell ref="AA68:AB68"/>
    <mergeCell ref="AA69:AB69"/>
    <mergeCell ref="AA70:AB70"/>
    <mergeCell ref="AA71:AB71"/>
    <mergeCell ref="AA72:AB72"/>
    <mergeCell ref="AA73:AB73"/>
    <mergeCell ref="AA74:AB74"/>
    <mergeCell ref="AA75:AB75"/>
    <mergeCell ref="AA76:AB76"/>
    <mergeCell ref="AA77:AB77"/>
    <mergeCell ref="AA78:AB78"/>
    <mergeCell ref="AA79:AB79"/>
    <mergeCell ref="AA80:AB80"/>
    <mergeCell ref="AA81:AB81"/>
    <mergeCell ref="AA48:AB48"/>
    <mergeCell ref="AA49:AB49"/>
    <mergeCell ref="AA50:AB50"/>
    <mergeCell ref="AA51:AB51"/>
    <mergeCell ref="AA52:AB52"/>
    <mergeCell ref="AA53:AB53"/>
    <mergeCell ref="AA54:AB54"/>
    <mergeCell ref="AA55:AB55"/>
    <mergeCell ref="AA56:AB56"/>
    <mergeCell ref="AA57:AB57"/>
    <mergeCell ref="AA58:AB58"/>
    <mergeCell ref="AA59:AB59"/>
    <mergeCell ref="AA60:AB60"/>
    <mergeCell ref="AA61:AB61"/>
    <mergeCell ref="AA62:AB62"/>
    <mergeCell ref="AA63:AB63"/>
    <mergeCell ref="AA64:AB64"/>
    <mergeCell ref="AA31:AB31"/>
    <mergeCell ref="AA32:AB32"/>
    <mergeCell ref="AA33:AB33"/>
    <mergeCell ref="AA34:AB34"/>
    <mergeCell ref="AA35:AB35"/>
    <mergeCell ref="AA36:AB36"/>
    <mergeCell ref="AA37:AB37"/>
    <mergeCell ref="AA38:AB38"/>
    <mergeCell ref="AA39:AB39"/>
    <mergeCell ref="AA40:AB40"/>
    <mergeCell ref="AA41:AB41"/>
    <mergeCell ref="AA42:AB42"/>
    <mergeCell ref="AA43:AB43"/>
    <mergeCell ref="AA44:AB44"/>
    <mergeCell ref="AA45:AB45"/>
    <mergeCell ref="AA46:AB46"/>
    <mergeCell ref="AA47:AB47"/>
    <mergeCell ref="Y80:Z80"/>
    <mergeCell ref="Y81:Z81"/>
    <mergeCell ref="Y82:Z82"/>
    <mergeCell ref="Y83:Z83"/>
    <mergeCell ref="Y84:Z84"/>
    <mergeCell ref="Y85:Z85"/>
    <mergeCell ref="Y86:Z86"/>
    <mergeCell ref="Y87:Z87"/>
    <mergeCell ref="Y88:Z88"/>
    <mergeCell ref="Y89:Z89"/>
    <mergeCell ref="Y90:Z90"/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AA20:AB20"/>
    <mergeCell ref="AA21:AB21"/>
    <mergeCell ref="AA22:AB22"/>
    <mergeCell ref="AA23:AB23"/>
    <mergeCell ref="AA24:AB24"/>
    <mergeCell ref="AA25:AB25"/>
    <mergeCell ref="AA26:AB26"/>
    <mergeCell ref="AA27:AB27"/>
    <mergeCell ref="AA28:AB28"/>
    <mergeCell ref="AA29:AB29"/>
    <mergeCell ref="AA30:AB30"/>
    <mergeCell ref="Y63:Z63"/>
    <mergeCell ref="Y64:Z64"/>
    <mergeCell ref="Y65:Z65"/>
    <mergeCell ref="Y66:Z66"/>
    <mergeCell ref="Y67:Z67"/>
    <mergeCell ref="Y68:Z68"/>
    <mergeCell ref="Y69:Z69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Y79:Z79"/>
    <mergeCell ref="Y46:Z46"/>
    <mergeCell ref="Y47:Z47"/>
    <mergeCell ref="Y48:Z48"/>
    <mergeCell ref="Y49:Z49"/>
    <mergeCell ref="Y50:Z50"/>
    <mergeCell ref="Y51:Z51"/>
    <mergeCell ref="Y52:Z52"/>
    <mergeCell ref="Y53:Z53"/>
    <mergeCell ref="Y54:Z54"/>
    <mergeCell ref="Y55:Z55"/>
    <mergeCell ref="Y56:Z56"/>
    <mergeCell ref="Y57:Z57"/>
    <mergeCell ref="Y58:Z58"/>
    <mergeCell ref="Y59:Z59"/>
    <mergeCell ref="Y60:Z60"/>
    <mergeCell ref="Y61:Z61"/>
    <mergeCell ref="Y62:Z62"/>
    <mergeCell ref="W162:X162"/>
    <mergeCell ref="W118:X118"/>
    <mergeCell ref="W119:X119"/>
    <mergeCell ref="W120:X120"/>
    <mergeCell ref="W121:X121"/>
    <mergeCell ref="W122:X122"/>
    <mergeCell ref="Y20:Z20"/>
    <mergeCell ref="Y21:Z21"/>
    <mergeCell ref="Y22:Z22"/>
    <mergeCell ref="Y23:Z23"/>
    <mergeCell ref="Y24:Z24"/>
    <mergeCell ref="Y25:Z25"/>
    <mergeCell ref="Y26:Z26"/>
    <mergeCell ref="Y27:Z27"/>
    <mergeCell ref="Y28:Z28"/>
    <mergeCell ref="Y29:Z29"/>
    <mergeCell ref="Y30:Z30"/>
    <mergeCell ref="Y31:Z31"/>
    <mergeCell ref="Y32:Z32"/>
    <mergeCell ref="Y33:Z33"/>
    <mergeCell ref="Y34:Z34"/>
    <mergeCell ref="Y35:Z35"/>
    <mergeCell ref="Y36:Z36"/>
    <mergeCell ref="Y37:Z37"/>
    <mergeCell ref="Y38:Z38"/>
    <mergeCell ref="Y39:Z39"/>
    <mergeCell ref="Y40:Z40"/>
    <mergeCell ref="Y41:Z41"/>
    <mergeCell ref="Y42:Z42"/>
    <mergeCell ref="Y43:Z43"/>
    <mergeCell ref="Y44:Z44"/>
    <mergeCell ref="Y45:Z45"/>
    <mergeCell ref="W144:X144"/>
    <mergeCell ref="W133:X133"/>
    <mergeCell ref="W134:X134"/>
    <mergeCell ref="W135:X135"/>
    <mergeCell ref="W136:X136"/>
    <mergeCell ref="W137:X137"/>
    <mergeCell ref="W128:X128"/>
    <mergeCell ref="W129:X129"/>
    <mergeCell ref="W130:X130"/>
    <mergeCell ref="W131:X131"/>
    <mergeCell ref="W132:X132"/>
    <mergeCell ref="W123:X123"/>
    <mergeCell ref="W124:X124"/>
    <mergeCell ref="W125:X125"/>
    <mergeCell ref="W126:X126"/>
    <mergeCell ref="W127:X127"/>
    <mergeCell ref="W145:X145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0:X90"/>
    <mergeCell ref="W139:X139"/>
    <mergeCell ref="W140:X140"/>
    <mergeCell ref="W141:X141"/>
    <mergeCell ref="W142:X142"/>
    <mergeCell ref="W143:X143"/>
    <mergeCell ref="W113:X113"/>
    <mergeCell ref="W114:X114"/>
    <mergeCell ref="W115:X115"/>
    <mergeCell ref="W116:X116"/>
    <mergeCell ref="W117:X117"/>
    <mergeCell ref="W108:X108"/>
    <mergeCell ref="W109:X109"/>
    <mergeCell ref="W110:X110"/>
    <mergeCell ref="W111:X111"/>
    <mergeCell ref="W112:X112"/>
    <mergeCell ref="W103:X103"/>
    <mergeCell ref="W104:X104"/>
    <mergeCell ref="W105:X105"/>
    <mergeCell ref="W106:X106"/>
    <mergeCell ref="W107:X107"/>
    <mergeCell ref="W62:X62"/>
    <mergeCell ref="W63:X63"/>
    <mergeCell ref="W64:X64"/>
    <mergeCell ref="W65:X65"/>
    <mergeCell ref="W66:X66"/>
    <mergeCell ref="W67:X67"/>
    <mergeCell ref="W68:X68"/>
    <mergeCell ref="W69:X69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0:X60"/>
    <mergeCell ref="W61:X61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U77:V77"/>
    <mergeCell ref="U78:V78"/>
    <mergeCell ref="U79:V79"/>
    <mergeCell ref="U80:V80"/>
    <mergeCell ref="U81:V81"/>
    <mergeCell ref="U82:V82"/>
    <mergeCell ref="U83:V83"/>
    <mergeCell ref="U84:V84"/>
    <mergeCell ref="U85:V85"/>
    <mergeCell ref="U86:V86"/>
    <mergeCell ref="U87:V87"/>
    <mergeCell ref="U88:V88"/>
    <mergeCell ref="U89:V89"/>
    <mergeCell ref="U90:V90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U60:V60"/>
    <mergeCell ref="U61:V61"/>
    <mergeCell ref="U62:V62"/>
    <mergeCell ref="U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U75:V75"/>
    <mergeCell ref="U76:V76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52:V52"/>
    <mergeCell ref="U53:V53"/>
    <mergeCell ref="U54:V54"/>
    <mergeCell ref="U55:V55"/>
    <mergeCell ref="U56:V56"/>
    <mergeCell ref="U57:V57"/>
    <mergeCell ref="U58:V58"/>
    <mergeCell ref="U59:V59"/>
    <mergeCell ref="U26:V26"/>
    <mergeCell ref="U27:V27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38:V38"/>
    <mergeCell ref="U39:V39"/>
    <mergeCell ref="U40:V40"/>
    <mergeCell ref="U41:V41"/>
    <mergeCell ref="U42:V42"/>
    <mergeCell ref="S87:T87"/>
    <mergeCell ref="S88:T88"/>
    <mergeCell ref="S89:T89"/>
    <mergeCell ref="S90:T90"/>
    <mergeCell ref="S139:T139"/>
    <mergeCell ref="S140:T140"/>
    <mergeCell ref="S141:T141"/>
    <mergeCell ref="S142:T142"/>
    <mergeCell ref="S143:T143"/>
    <mergeCell ref="S144:T144"/>
    <mergeCell ref="S145:T145"/>
    <mergeCell ref="S116:T116"/>
    <mergeCell ref="S147:T147"/>
    <mergeCell ref="S148:T148"/>
    <mergeCell ref="S149:T149"/>
    <mergeCell ref="S150:T150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Q85:R85"/>
    <mergeCell ref="Q86:R86"/>
    <mergeCell ref="Q87:R87"/>
    <mergeCell ref="Q88:R88"/>
    <mergeCell ref="Q89:R89"/>
    <mergeCell ref="Q90:R90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Q68:R68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Q78:R78"/>
    <mergeCell ref="Q79:R79"/>
    <mergeCell ref="Q80:R80"/>
    <mergeCell ref="Q81:R81"/>
    <mergeCell ref="Q82:R82"/>
    <mergeCell ref="Q83:R83"/>
    <mergeCell ref="Q84:R84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63:R63"/>
    <mergeCell ref="Q64:R64"/>
    <mergeCell ref="Q65:R65"/>
    <mergeCell ref="Q66:R66"/>
    <mergeCell ref="Q67:R67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O155:P155"/>
    <mergeCell ref="O156:P156"/>
    <mergeCell ref="O157:P157"/>
    <mergeCell ref="O158:P158"/>
    <mergeCell ref="O159:P159"/>
    <mergeCell ref="O160:P160"/>
    <mergeCell ref="O161:P161"/>
    <mergeCell ref="O162:P162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O78:P78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0:P90"/>
    <mergeCell ref="O139:P139"/>
    <mergeCell ref="O140:P140"/>
    <mergeCell ref="O141:P141"/>
    <mergeCell ref="O142:P142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  <mergeCell ref="O71:P71"/>
    <mergeCell ref="O72:P72"/>
    <mergeCell ref="O73:P73"/>
    <mergeCell ref="O74:P74"/>
    <mergeCell ref="O75:P75"/>
    <mergeCell ref="O76:P76"/>
    <mergeCell ref="O77:P77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B86:E86"/>
    <mergeCell ref="B87:E87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88:E88"/>
    <mergeCell ref="B89:E89"/>
    <mergeCell ref="B90:E9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M106:N106"/>
    <mergeCell ref="B4:D4"/>
    <mergeCell ref="E4:G4"/>
    <mergeCell ref="B5:G5"/>
    <mergeCell ref="I2:L2"/>
    <mergeCell ref="I3:L3"/>
    <mergeCell ref="I4:L4"/>
    <mergeCell ref="E2:G2"/>
    <mergeCell ref="B3:D3"/>
    <mergeCell ref="E3:G3"/>
    <mergeCell ref="B6:H6"/>
    <mergeCell ref="B8:E8"/>
    <mergeCell ref="B9:E9"/>
    <mergeCell ref="B91:E91"/>
    <mergeCell ref="K8:L8"/>
    <mergeCell ref="M8:N8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92:E92"/>
    <mergeCell ref="B105:E105"/>
    <mergeCell ref="B106:E106"/>
    <mergeCell ref="B20:E20"/>
    <mergeCell ref="B21:E21"/>
    <mergeCell ref="B22:E22"/>
    <mergeCell ref="B109:E109"/>
    <mergeCell ref="B115:E115"/>
    <mergeCell ref="B104:E104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10:E110"/>
    <mergeCell ref="B111:E111"/>
    <mergeCell ref="B112:E112"/>
    <mergeCell ref="B107:E107"/>
    <mergeCell ref="B108:E108"/>
    <mergeCell ref="B169:E169"/>
    <mergeCell ref="B138:E138"/>
    <mergeCell ref="B132:E132"/>
    <mergeCell ref="B133:E133"/>
    <mergeCell ref="B134:E134"/>
    <mergeCell ref="B135:E135"/>
    <mergeCell ref="B117:E117"/>
    <mergeCell ref="B118:E118"/>
    <mergeCell ref="B119:E119"/>
    <mergeCell ref="B120:E120"/>
    <mergeCell ref="B121:E121"/>
    <mergeCell ref="B126:E126"/>
    <mergeCell ref="B123:E123"/>
    <mergeCell ref="B124:E124"/>
    <mergeCell ref="B125:E125"/>
    <mergeCell ref="B113:E113"/>
    <mergeCell ref="B114:E114"/>
    <mergeCell ref="B130:E130"/>
    <mergeCell ref="B131:E131"/>
    <mergeCell ref="B128:E128"/>
    <mergeCell ref="B129:E129"/>
    <mergeCell ref="B149:E149"/>
    <mergeCell ref="B150:E150"/>
    <mergeCell ref="B157:E157"/>
    <mergeCell ref="B158:E158"/>
    <mergeCell ref="B159:E159"/>
    <mergeCell ref="B145:E145"/>
    <mergeCell ref="B146:E146"/>
    <mergeCell ref="B147:E147"/>
    <mergeCell ref="B148:E148"/>
    <mergeCell ref="A173:A177"/>
    <mergeCell ref="B173:H177"/>
    <mergeCell ref="B160:E160"/>
    <mergeCell ref="B161:E161"/>
    <mergeCell ref="B162:E162"/>
    <mergeCell ref="I5:L5"/>
    <mergeCell ref="B136:E136"/>
    <mergeCell ref="B137:E137"/>
    <mergeCell ref="B156:E156"/>
    <mergeCell ref="B171:E171"/>
    <mergeCell ref="B153:E153"/>
    <mergeCell ref="B154:E154"/>
    <mergeCell ref="B155:E155"/>
    <mergeCell ref="B172:H172"/>
    <mergeCell ref="B139:E139"/>
    <mergeCell ref="B140:E140"/>
    <mergeCell ref="B141:E141"/>
    <mergeCell ref="B142:E142"/>
    <mergeCell ref="B143:E143"/>
    <mergeCell ref="B144:E144"/>
    <mergeCell ref="B116:E116"/>
    <mergeCell ref="B122:E122"/>
    <mergeCell ref="B127:E127"/>
    <mergeCell ref="B170:E170"/>
    <mergeCell ref="B151:E151"/>
    <mergeCell ref="B152:E152"/>
    <mergeCell ref="B163:E163"/>
    <mergeCell ref="B164:E164"/>
    <mergeCell ref="B165:E165"/>
    <mergeCell ref="B166:E166"/>
    <mergeCell ref="B167:E167"/>
    <mergeCell ref="B168:E168"/>
    <mergeCell ref="Y9:Z9"/>
    <mergeCell ref="Y91:Z91"/>
    <mergeCell ref="Y92:Z92"/>
    <mergeCell ref="Y93:Z93"/>
    <mergeCell ref="AK9:AL9"/>
    <mergeCell ref="AK91:AL91"/>
    <mergeCell ref="AK92:AL92"/>
    <mergeCell ref="AK93:AL93"/>
    <mergeCell ref="AG8:AH8"/>
    <mergeCell ref="AI8:AJ8"/>
    <mergeCell ref="AK8:AL8"/>
    <mergeCell ref="AM8:AN8"/>
    <mergeCell ref="AO8:AP8"/>
    <mergeCell ref="AQ9:AR9"/>
    <mergeCell ref="AQ91:AR91"/>
    <mergeCell ref="AQ92:AR92"/>
    <mergeCell ref="AQ93:AR93"/>
    <mergeCell ref="AE8:AF8"/>
    <mergeCell ref="AC9:AD9"/>
    <mergeCell ref="AC91:AD91"/>
    <mergeCell ref="AC92:AD92"/>
    <mergeCell ref="AC93:AD93"/>
    <mergeCell ref="Y10:Z10"/>
    <mergeCell ref="Y11:Z11"/>
    <mergeCell ref="Y12:Z12"/>
    <mergeCell ref="Y13:Z13"/>
    <mergeCell ref="Y14:Z14"/>
    <mergeCell ref="Y15:Z15"/>
    <mergeCell ref="Y16:Z16"/>
    <mergeCell ref="Y17:Z17"/>
    <mergeCell ref="Y18:Z18"/>
    <mergeCell ref="Y19:Z19"/>
    <mergeCell ref="O8:P8"/>
    <mergeCell ref="Q8:R8"/>
    <mergeCell ref="U8:V8"/>
    <mergeCell ref="W8:X8"/>
    <mergeCell ref="M10:N10"/>
    <mergeCell ref="M11:N11"/>
    <mergeCell ref="AQ97:AR97"/>
    <mergeCell ref="AQ98:AR98"/>
    <mergeCell ref="S8:T8"/>
    <mergeCell ref="Y8:Z8"/>
    <mergeCell ref="AA8:AB8"/>
    <mergeCell ref="AC8:AD8"/>
    <mergeCell ref="M111:N111"/>
    <mergeCell ref="M112:N112"/>
    <mergeCell ref="M113:N113"/>
    <mergeCell ref="M114:N114"/>
    <mergeCell ref="AQ8:AR8"/>
    <mergeCell ref="Q107:R107"/>
    <mergeCell ref="Q108:R108"/>
    <mergeCell ref="Q114:R114"/>
    <mergeCell ref="O101:P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U105:V105"/>
    <mergeCell ref="K176:L176"/>
    <mergeCell ref="K177:L177"/>
    <mergeCell ref="M9:N9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47:N147"/>
    <mergeCell ref="M131:N131"/>
    <mergeCell ref="M132:N132"/>
    <mergeCell ref="M133:N133"/>
    <mergeCell ref="M134:N134"/>
    <mergeCell ref="M135:N135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O107:P107"/>
    <mergeCell ref="O108:P108"/>
    <mergeCell ref="O116:P116"/>
    <mergeCell ref="O117:P117"/>
    <mergeCell ref="O118:P118"/>
    <mergeCell ref="O126:P126"/>
    <mergeCell ref="O127:P127"/>
    <mergeCell ref="O128:P128"/>
    <mergeCell ref="M107:N107"/>
    <mergeCell ref="M108:N108"/>
    <mergeCell ref="M109:N109"/>
    <mergeCell ref="M110:N110"/>
    <mergeCell ref="O114:P114"/>
    <mergeCell ref="O115:P115"/>
    <mergeCell ref="M115:N115"/>
    <mergeCell ref="M176:N176"/>
    <mergeCell ref="M177:N177"/>
    <mergeCell ref="M171:N171"/>
    <mergeCell ref="M172:N172"/>
    <mergeCell ref="M173:N173"/>
    <mergeCell ref="M174:N174"/>
    <mergeCell ref="M175:N175"/>
    <mergeCell ref="M167:N167"/>
    <mergeCell ref="M168:N168"/>
    <mergeCell ref="M169:N169"/>
    <mergeCell ref="M170:N170"/>
    <mergeCell ref="M163:N163"/>
    <mergeCell ref="M164:N164"/>
    <mergeCell ref="M165:N165"/>
    <mergeCell ref="M166:N166"/>
    <mergeCell ref="M136:N136"/>
    <mergeCell ref="M137:N137"/>
    <mergeCell ref="M138:N138"/>
    <mergeCell ref="M151:N151"/>
    <mergeCell ref="M152:N152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8:N148"/>
    <mergeCell ref="M149:N149"/>
    <mergeCell ref="M150:N150"/>
    <mergeCell ref="M153:N153"/>
    <mergeCell ref="Q131:R131"/>
    <mergeCell ref="Q132:R132"/>
    <mergeCell ref="Q133:R133"/>
    <mergeCell ref="Q115:R115"/>
    <mergeCell ref="Q116:R116"/>
    <mergeCell ref="Q117:R117"/>
    <mergeCell ref="Q118:R118"/>
    <mergeCell ref="O109:P109"/>
    <mergeCell ref="O110:P110"/>
    <mergeCell ref="O111:P111"/>
    <mergeCell ref="O112:P112"/>
    <mergeCell ref="O113:P113"/>
    <mergeCell ref="Q109:R109"/>
    <mergeCell ref="Q110:R110"/>
    <mergeCell ref="Q111:R111"/>
    <mergeCell ref="Q112:R112"/>
    <mergeCell ref="Q113:R113"/>
    <mergeCell ref="O124:P124"/>
    <mergeCell ref="O125:P125"/>
    <mergeCell ref="Q124:R124"/>
    <mergeCell ref="Q125:R125"/>
    <mergeCell ref="O168:P168"/>
    <mergeCell ref="Q166:R166"/>
    <mergeCell ref="Q167:R167"/>
    <mergeCell ref="Q168:R168"/>
    <mergeCell ref="Q126:R126"/>
    <mergeCell ref="Q127:R127"/>
    <mergeCell ref="Q128:R128"/>
    <mergeCell ref="O119:P119"/>
    <mergeCell ref="O120:P120"/>
    <mergeCell ref="O121:P121"/>
    <mergeCell ref="O122:P122"/>
    <mergeCell ref="O123:P123"/>
    <mergeCell ref="Q119:R119"/>
    <mergeCell ref="Q120:R120"/>
    <mergeCell ref="Q121:R121"/>
    <mergeCell ref="Q122:R122"/>
    <mergeCell ref="Q123:R123"/>
    <mergeCell ref="O136:P136"/>
    <mergeCell ref="O137:P137"/>
    <mergeCell ref="O138:P138"/>
    <mergeCell ref="Q134:R134"/>
    <mergeCell ref="Q135:R135"/>
    <mergeCell ref="Q136:R136"/>
    <mergeCell ref="Q137:R137"/>
    <mergeCell ref="Q138:R138"/>
    <mergeCell ref="O129:P129"/>
    <mergeCell ref="O130:P130"/>
    <mergeCell ref="O131:P131"/>
    <mergeCell ref="O132:P132"/>
    <mergeCell ref="O133:P133"/>
    <mergeCell ref="Q129:R129"/>
    <mergeCell ref="Q130:R130"/>
    <mergeCell ref="O163:P163"/>
    <mergeCell ref="O164:P164"/>
    <mergeCell ref="O165:P165"/>
    <mergeCell ref="Q151:R151"/>
    <mergeCell ref="Q152:R152"/>
    <mergeCell ref="Q163:R163"/>
    <mergeCell ref="Q164:R164"/>
    <mergeCell ref="Q165:R165"/>
    <mergeCell ref="Q139:R139"/>
    <mergeCell ref="O134:P134"/>
    <mergeCell ref="O135:P135"/>
    <mergeCell ref="O174:P174"/>
    <mergeCell ref="O175:P175"/>
    <mergeCell ref="O176:P176"/>
    <mergeCell ref="Q158:R158"/>
    <mergeCell ref="Q159:R159"/>
    <mergeCell ref="Q160:R160"/>
    <mergeCell ref="Q161:R161"/>
    <mergeCell ref="Q162:R162"/>
    <mergeCell ref="O169:P169"/>
    <mergeCell ref="O170:P170"/>
    <mergeCell ref="O171:P171"/>
    <mergeCell ref="O172:P172"/>
    <mergeCell ref="O173:P173"/>
    <mergeCell ref="Q169:R169"/>
    <mergeCell ref="Q170:R170"/>
    <mergeCell ref="Q171:R171"/>
    <mergeCell ref="Q172:R172"/>
    <mergeCell ref="Q173:R173"/>
    <mergeCell ref="Q150:R150"/>
    <mergeCell ref="O166:P166"/>
    <mergeCell ref="O167:P167"/>
    <mergeCell ref="O177:P177"/>
    <mergeCell ref="Q9:R9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Q100:R100"/>
    <mergeCell ref="Q101:R101"/>
    <mergeCell ref="O102:P102"/>
    <mergeCell ref="O103:P103"/>
    <mergeCell ref="O104:P104"/>
    <mergeCell ref="O105:P105"/>
    <mergeCell ref="O106:P106"/>
    <mergeCell ref="O9:P9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O100:P100"/>
    <mergeCell ref="Q174:R174"/>
    <mergeCell ref="Q175:R175"/>
    <mergeCell ref="Q176:R176"/>
    <mergeCell ref="Q177:R177"/>
    <mergeCell ref="S9:T9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Q102:R102"/>
    <mergeCell ref="Q103:R103"/>
    <mergeCell ref="Q104:R104"/>
    <mergeCell ref="Q105:R105"/>
    <mergeCell ref="Q106:R106"/>
    <mergeCell ref="S122:T122"/>
    <mergeCell ref="S123:T123"/>
    <mergeCell ref="S124:T124"/>
    <mergeCell ref="S125:T125"/>
    <mergeCell ref="S126:T126"/>
    <mergeCell ref="S117:T117"/>
    <mergeCell ref="S118:T118"/>
    <mergeCell ref="S119:T119"/>
    <mergeCell ref="S120:T120"/>
    <mergeCell ref="S121:T121"/>
    <mergeCell ref="S112:T112"/>
    <mergeCell ref="S113:T113"/>
    <mergeCell ref="S114:T114"/>
    <mergeCell ref="S115:T115"/>
    <mergeCell ref="S165:T165"/>
    <mergeCell ref="S166:T166"/>
    <mergeCell ref="S137:T137"/>
    <mergeCell ref="S138:T138"/>
    <mergeCell ref="S151:T151"/>
    <mergeCell ref="S152:T152"/>
    <mergeCell ref="S163:T163"/>
    <mergeCell ref="S132:T132"/>
    <mergeCell ref="S133:T133"/>
    <mergeCell ref="S134:T134"/>
    <mergeCell ref="S135:T135"/>
    <mergeCell ref="S136:T136"/>
    <mergeCell ref="S127:T127"/>
    <mergeCell ref="S128:T128"/>
    <mergeCell ref="S129:T129"/>
    <mergeCell ref="S130:T130"/>
    <mergeCell ref="S131:T131"/>
    <mergeCell ref="S146:T146"/>
    <mergeCell ref="S153:T153"/>
    <mergeCell ref="S154:T154"/>
    <mergeCell ref="S155:T155"/>
    <mergeCell ref="S156:T156"/>
    <mergeCell ref="S157:T157"/>
    <mergeCell ref="S158:T158"/>
    <mergeCell ref="S159:T159"/>
    <mergeCell ref="S160:T160"/>
    <mergeCell ref="S161:T161"/>
    <mergeCell ref="S162:T162"/>
    <mergeCell ref="U106:V106"/>
    <mergeCell ref="U107:V107"/>
    <mergeCell ref="U108:V108"/>
    <mergeCell ref="U109:V109"/>
    <mergeCell ref="S177:T177"/>
    <mergeCell ref="U9:V9"/>
    <mergeCell ref="U91:V91"/>
    <mergeCell ref="U92:V92"/>
    <mergeCell ref="U93:V93"/>
    <mergeCell ref="U94:V94"/>
    <mergeCell ref="U95:V95"/>
    <mergeCell ref="U96:V96"/>
    <mergeCell ref="U97:V97"/>
    <mergeCell ref="U98:V98"/>
    <mergeCell ref="U99:V99"/>
    <mergeCell ref="U100:V100"/>
    <mergeCell ref="U101:V101"/>
    <mergeCell ref="U102:V102"/>
    <mergeCell ref="U103:V103"/>
    <mergeCell ref="U104:V104"/>
    <mergeCell ref="S172:T172"/>
    <mergeCell ref="S173:T173"/>
    <mergeCell ref="S174:T174"/>
    <mergeCell ref="S175:T175"/>
    <mergeCell ref="S176:T176"/>
    <mergeCell ref="S167:T167"/>
    <mergeCell ref="S168:T168"/>
    <mergeCell ref="S169:T169"/>
    <mergeCell ref="S170:T170"/>
    <mergeCell ref="S171:T171"/>
    <mergeCell ref="S164:T164"/>
    <mergeCell ref="U125:V125"/>
    <mergeCell ref="U126:V126"/>
    <mergeCell ref="U127:V127"/>
    <mergeCell ref="U128:V128"/>
    <mergeCell ref="U129:V129"/>
    <mergeCell ref="U120:V120"/>
    <mergeCell ref="U121:V121"/>
    <mergeCell ref="U122:V122"/>
    <mergeCell ref="U123:V123"/>
    <mergeCell ref="U124:V124"/>
    <mergeCell ref="U115:V115"/>
    <mergeCell ref="U116:V116"/>
    <mergeCell ref="U117:V117"/>
    <mergeCell ref="U118:V118"/>
    <mergeCell ref="U119:V119"/>
    <mergeCell ref="U110:V110"/>
    <mergeCell ref="U111:V111"/>
    <mergeCell ref="U112:V112"/>
    <mergeCell ref="U113:V113"/>
    <mergeCell ref="U114:V114"/>
    <mergeCell ref="U177:V177"/>
    <mergeCell ref="W9:X9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W100:X100"/>
    <mergeCell ref="W101:X101"/>
    <mergeCell ref="W102:X102"/>
    <mergeCell ref="U170:V170"/>
    <mergeCell ref="U171:V171"/>
    <mergeCell ref="U172:V172"/>
    <mergeCell ref="U173:V173"/>
    <mergeCell ref="U174:V174"/>
    <mergeCell ref="U167:V167"/>
    <mergeCell ref="U168:V168"/>
    <mergeCell ref="U169:V169"/>
    <mergeCell ref="U152:V152"/>
    <mergeCell ref="U163:V163"/>
    <mergeCell ref="U164:V164"/>
    <mergeCell ref="U165:V165"/>
    <mergeCell ref="U166:V166"/>
    <mergeCell ref="U135:V135"/>
    <mergeCell ref="U136:V136"/>
    <mergeCell ref="U137:V137"/>
    <mergeCell ref="U138:V138"/>
    <mergeCell ref="U151:V151"/>
    <mergeCell ref="U175:V175"/>
    <mergeCell ref="U176:V176"/>
    <mergeCell ref="U139:V139"/>
    <mergeCell ref="U140:V140"/>
    <mergeCell ref="U141:V141"/>
    <mergeCell ref="U142:V142"/>
    <mergeCell ref="U143:V143"/>
    <mergeCell ref="U144:V144"/>
    <mergeCell ref="U145:V145"/>
    <mergeCell ref="U146:V146"/>
    <mergeCell ref="U147:V147"/>
    <mergeCell ref="U148:V148"/>
    <mergeCell ref="U130:V130"/>
    <mergeCell ref="U131:V131"/>
    <mergeCell ref="U132:V132"/>
    <mergeCell ref="U133:V133"/>
    <mergeCell ref="U134:V134"/>
    <mergeCell ref="U157:V157"/>
    <mergeCell ref="U158:V158"/>
    <mergeCell ref="U159:V159"/>
    <mergeCell ref="U160:V160"/>
    <mergeCell ref="U161:V161"/>
    <mergeCell ref="U162:V162"/>
    <mergeCell ref="U149:V149"/>
    <mergeCell ref="U150:V150"/>
    <mergeCell ref="U153:V153"/>
    <mergeCell ref="U154:V154"/>
    <mergeCell ref="U155:V155"/>
    <mergeCell ref="W173:X173"/>
    <mergeCell ref="W174:X174"/>
    <mergeCell ref="W175:X175"/>
    <mergeCell ref="W176:X176"/>
    <mergeCell ref="W177:X177"/>
    <mergeCell ref="W168:X168"/>
    <mergeCell ref="W169:X169"/>
    <mergeCell ref="W170:X170"/>
    <mergeCell ref="W171:X171"/>
    <mergeCell ref="W172:X172"/>
    <mergeCell ref="W165:X165"/>
    <mergeCell ref="W166:X166"/>
    <mergeCell ref="W167:X167"/>
    <mergeCell ref="W138:X138"/>
    <mergeCell ref="W151:X151"/>
    <mergeCell ref="W152:X152"/>
    <mergeCell ref="W163:X163"/>
    <mergeCell ref="W164:X164"/>
    <mergeCell ref="W146:X146"/>
    <mergeCell ref="W147:X147"/>
    <mergeCell ref="W148:X148"/>
    <mergeCell ref="W149:X149"/>
    <mergeCell ref="W150:X150"/>
    <mergeCell ref="W153:X153"/>
    <mergeCell ref="W154:X154"/>
    <mergeCell ref="W155:X155"/>
    <mergeCell ref="W156:X156"/>
    <mergeCell ref="W157:X157"/>
    <mergeCell ref="W158:X158"/>
    <mergeCell ref="W159:X159"/>
    <mergeCell ref="W160:X160"/>
    <mergeCell ref="W161:X161"/>
    <mergeCell ref="Y109:Z109"/>
    <mergeCell ref="Y110:Z110"/>
    <mergeCell ref="Y111:Z111"/>
    <mergeCell ref="Y112:Z112"/>
    <mergeCell ref="Y113:Z113"/>
    <mergeCell ref="Y104:Z104"/>
    <mergeCell ref="Y105:Z105"/>
    <mergeCell ref="Y106:Z106"/>
    <mergeCell ref="Y107:Z107"/>
    <mergeCell ref="Y108:Z108"/>
    <mergeCell ref="Y99:Z99"/>
    <mergeCell ref="Y100:Z100"/>
    <mergeCell ref="Y101:Z101"/>
    <mergeCell ref="Y102:Z102"/>
    <mergeCell ref="Y103:Z103"/>
    <mergeCell ref="Y94:Z94"/>
    <mergeCell ref="Y95:Z95"/>
    <mergeCell ref="Y96:Z96"/>
    <mergeCell ref="Y97:Z97"/>
    <mergeCell ref="Y98:Z98"/>
    <mergeCell ref="Y129:Z129"/>
    <mergeCell ref="Y130:Z130"/>
    <mergeCell ref="Y131:Z131"/>
    <mergeCell ref="Y132:Z132"/>
    <mergeCell ref="Y133:Z133"/>
    <mergeCell ref="Y124:Z124"/>
    <mergeCell ref="Y125:Z125"/>
    <mergeCell ref="Y126:Z126"/>
    <mergeCell ref="Y127:Z127"/>
    <mergeCell ref="Y128:Z128"/>
    <mergeCell ref="Y119:Z119"/>
    <mergeCell ref="Y120:Z120"/>
    <mergeCell ref="Y121:Z121"/>
    <mergeCell ref="Y122:Z122"/>
    <mergeCell ref="Y123:Z123"/>
    <mergeCell ref="Y114:Z114"/>
    <mergeCell ref="Y115:Z115"/>
    <mergeCell ref="Y116:Z116"/>
    <mergeCell ref="Y117:Z117"/>
    <mergeCell ref="Y118:Z118"/>
    <mergeCell ref="Y168:Z168"/>
    <mergeCell ref="Y151:Z151"/>
    <mergeCell ref="Y152:Z152"/>
    <mergeCell ref="Y163:Z163"/>
    <mergeCell ref="Y164:Z164"/>
    <mergeCell ref="Y165:Z165"/>
    <mergeCell ref="Y155:Z155"/>
    <mergeCell ref="Y156:Z156"/>
    <mergeCell ref="Y157:Z157"/>
    <mergeCell ref="Y158:Z158"/>
    <mergeCell ref="Y159:Z159"/>
    <mergeCell ref="Y160:Z160"/>
    <mergeCell ref="Y161:Z161"/>
    <mergeCell ref="Y162:Z162"/>
    <mergeCell ref="Y134:Z134"/>
    <mergeCell ref="Y135:Z135"/>
    <mergeCell ref="Y136:Z136"/>
    <mergeCell ref="Y137:Z137"/>
    <mergeCell ref="Y138:Z138"/>
    <mergeCell ref="Y139:Z139"/>
    <mergeCell ref="Y142:Z142"/>
    <mergeCell ref="Y143:Z143"/>
    <mergeCell ref="Y148:Z148"/>
    <mergeCell ref="Y149:Z149"/>
    <mergeCell ref="Y150:Z150"/>
    <mergeCell ref="Y153:Z153"/>
    <mergeCell ref="Y154:Z154"/>
    <mergeCell ref="Y144:Z144"/>
    <mergeCell ref="Y145:Z145"/>
    <mergeCell ref="Y146:Z146"/>
    <mergeCell ref="Y147:Z147"/>
    <mergeCell ref="Y140:Z140"/>
    <mergeCell ref="Y174:Z174"/>
    <mergeCell ref="Y175:Z175"/>
    <mergeCell ref="Y176:Z176"/>
    <mergeCell ref="Y177:Z177"/>
    <mergeCell ref="AA9:AB9"/>
    <mergeCell ref="AA91:AB91"/>
    <mergeCell ref="AA92:AB92"/>
    <mergeCell ref="AA93:AB93"/>
    <mergeCell ref="AA94:AB94"/>
    <mergeCell ref="AA95:AB95"/>
    <mergeCell ref="AA96:AB96"/>
    <mergeCell ref="AA97:AB97"/>
    <mergeCell ref="AA98:AB98"/>
    <mergeCell ref="AA99:AB99"/>
    <mergeCell ref="AA100:AB100"/>
    <mergeCell ref="Y169:Z169"/>
    <mergeCell ref="Y170:Z170"/>
    <mergeCell ref="Y171:Z171"/>
    <mergeCell ref="Y172:Z172"/>
    <mergeCell ref="Y173:Z173"/>
    <mergeCell ref="Y166:Z166"/>
    <mergeCell ref="Y167:Z167"/>
    <mergeCell ref="AA126:AB126"/>
    <mergeCell ref="AA127:AB127"/>
    <mergeCell ref="AA128:AB128"/>
    <mergeCell ref="AA129:AB129"/>
    <mergeCell ref="AA130:AB130"/>
    <mergeCell ref="AA121:AB121"/>
    <mergeCell ref="AA122:AB122"/>
    <mergeCell ref="AA123:AB123"/>
    <mergeCell ref="AA124:AB124"/>
    <mergeCell ref="AA125:AB125"/>
    <mergeCell ref="AA163:AB163"/>
    <mergeCell ref="AA164:AB164"/>
    <mergeCell ref="AA165:AB165"/>
    <mergeCell ref="AA166:AB166"/>
    <mergeCell ref="AA136:AB136"/>
    <mergeCell ref="AA137:AB137"/>
    <mergeCell ref="AA138:AB138"/>
    <mergeCell ref="AA151:AB151"/>
    <mergeCell ref="AA152:AB152"/>
    <mergeCell ref="AA131:AB131"/>
    <mergeCell ref="AA132:AB132"/>
    <mergeCell ref="AA133:AB133"/>
    <mergeCell ref="AA134:AB134"/>
    <mergeCell ref="AA135:AB135"/>
    <mergeCell ref="AA142:AB142"/>
    <mergeCell ref="AA143:AB143"/>
    <mergeCell ref="AA144:AB144"/>
    <mergeCell ref="AA145:AB145"/>
    <mergeCell ref="AA146:AB146"/>
    <mergeCell ref="AA147:AB147"/>
    <mergeCell ref="AA148:AB148"/>
    <mergeCell ref="AA149:AB149"/>
    <mergeCell ref="AA150:AB150"/>
    <mergeCell ref="AA153:AB153"/>
    <mergeCell ref="AA159:AB159"/>
    <mergeCell ref="AA160:AB160"/>
    <mergeCell ref="AA156:AB156"/>
    <mergeCell ref="AA157:AB157"/>
    <mergeCell ref="AA158:AB158"/>
    <mergeCell ref="AA161:AB161"/>
    <mergeCell ref="AA162:AB162"/>
    <mergeCell ref="AC112:AD112"/>
    <mergeCell ref="AC113:AD113"/>
    <mergeCell ref="AC104:AD104"/>
    <mergeCell ref="AC105:AD105"/>
    <mergeCell ref="AC106:AD106"/>
    <mergeCell ref="AC107:AD107"/>
    <mergeCell ref="AC108:AD108"/>
    <mergeCell ref="AA176:AB176"/>
    <mergeCell ref="AA177:AB177"/>
    <mergeCell ref="AC115:AD115"/>
    <mergeCell ref="AC116:AD116"/>
    <mergeCell ref="AC117:AD117"/>
    <mergeCell ref="AC118:AD118"/>
    <mergeCell ref="AC167:AD167"/>
    <mergeCell ref="AC168:AD168"/>
    <mergeCell ref="AC151:AD151"/>
    <mergeCell ref="AC152:AD152"/>
    <mergeCell ref="AC163:AD163"/>
    <mergeCell ref="AC164:AD164"/>
    <mergeCell ref="AC165:AD165"/>
    <mergeCell ref="AC156:AD156"/>
    <mergeCell ref="AC157:AD157"/>
    <mergeCell ref="AC158:AD158"/>
    <mergeCell ref="AC159:AD159"/>
    <mergeCell ref="AA111:AB111"/>
    <mergeCell ref="AA112:AB112"/>
    <mergeCell ref="AC160:AD160"/>
    <mergeCell ref="AC161:AD161"/>
    <mergeCell ref="AC162:AD162"/>
    <mergeCell ref="AA168:AB168"/>
    <mergeCell ref="AA169:AB169"/>
    <mergeCell ref="AA170:AB170"/>
    <mergeCell ref="AC94:AD94"/>
    <mergeCell ref="AC95:AD95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A171:AB171"/>
    <mergeCell ref="AA172:AB172"/>
    <mergeCell ref="AA173:AB173"/>
    <mergeCell ref="AA174:AB174"/>
    <mergeCell ref="AA175:AB175"/>
    <mergeCell ref="AA167:AB167"/>
    <mergeCell ref="AC129:AD129"/>
    <mergeCell ref="AC130:AD130"/>
    <mergeCell ref="AC131:AD131"/>
    <mergeCell ref="AC132:AD132"/>
    <mergeCell ref="AC133:AD133"/>
    <mergeCell ref="AC124:AD124"/>
    <mergeCell ref="AC125:AD125"/>
    <mergeCell ref="AC126:AD126"/>
    <mergeCell ref="AC127:AD127"/>
    <mergeCell ref="AC128:AD128"/>
    <mergeCell ref="AC119:AD119"/>
    <mergeCell ref="AC120:AD120"/>
    <mergeCell ref="AC121:AD121"/>
    <mergeCell ref="AC122:AD122"/>
    <mergeCell ref="AC123:AD123"/>
    <mergeCell ref="AC114:AD114"/>
    <mergeCell ref="AC134:AD134"/>
    <mergeCell ref="AC135:AD135"/>
    <mergeCell ref="AC136:AD136"/>
    <mergeCell ref="AC137:AD137"/>
    <mergeCell ref="AC138:AD138"/>
    <mergeCell ref="AC147:AD147"/>
    <mergeCell ref="AC148:AD148"/>
    <mergeCell ref="AC144:AD144"/>
    <mergeCell ref="AE107:AF107"/>
    <mergeCell ref="AE108:AF108"/>
    <mergeCell ref="AE109:AF109"/>
    <mergeCell ref="AE110:AF110"/>
    <mergeCell ref="AE111:AF111"/>
    <mergeCell ref="AE102:AF102"/>
    <mergeCell ref="AE103:AF103"/>
    <mergeCell ref="AE104:AF104"/>
    <mergeCell ref="AE105:AF105"/>
    <mergeCell ref="AE106:AF106"/>
    <mergeCell ref="AE117:AF117"/>
    <mergeCell ref="AE118:AF118"/>
    <mergeCell ref="AE119:AF119"/>
    <mergeCell ref="AE120:AF120"/>
    <mergeCell ref="AE121:AF121"/>
    <mergeCell ref="AE112:AF112"/>
    <mergeCell ref="AE113:AF113"/>
    <mergeCell ref="AE114:AF114"/>
    <mergeCell ref="AE115:AF115"/>
    <mergeCell ref="AE116:AF116"/>
    <mergeCell ref="AE126:AF126"/>
    <mergeCell ref="AC109:AD109"/>
    <mergeCell ref="AC110:AD110"/>
    <mergeCell ref="AC111:AD111"/>
    <mergeCell ref="AE160:AF160"/>
    <mergeCell ref="AC174:AD174"/>
    <mergeCell ref="AC175:AD175"/>
    <mergeCell ref="AC176:AD176"/>
    <mergeCell ref="AC177:AD177"/>
    <mergeCell ref="AE9:AF9"/>
    <mergeCell ref="AE91:AF91"/>
    <mergeCell ref="AE92:AF92"/>
    <mergeCell ref="AE93:AF93"/>
    <mergeCell ref="AE94:AF94"/>
    <mergeCell ref="AE95:AF95"/>
    <mergeCell ref="AE96:AF96"/>
    <mergeCell ref="AE97:AF97"/>
    <mergeCell ref="AE98:AF98"/>
    <mergeCell ref="AE99:AF99"/>
    <mergeCell ref="AE100:AF100"/>
    <mergeCell ref="AE101:AF101"/>
    <mergeCell ref="AC169:AD169"/>
    <mergeCell ref="AC170:AD170"/>
    <mergeCell ref="AC171:AD171"/>
    <mergeCell ref="AC172:AD172"/>
    <mergeCell ref="AC173:AD173"/>
    <mergeCell ref="AC166:AD166"/>
    <mergeCell ref="AE127:AF127"/>
    <mergeCell ref="AE128:AF128"/>
    <mergeCell ref="AE129:AF129"/>
    <mergeCell ref="AE130:AF130"/>
    <mergeCell ref="AE131:AF131"/>
    <mergeCell ref="AE122:AF122"/>
    <mergeCell ref="AE123:AF123"/>
    <mergeCell ref="AE124:AF124"/>
    <mergeCell ref="AE125:AF125"/>
    <mergeCell ref="AE168:AF168"/>
    <mergeCell ref="AE169:AF169"/>
    <mergeCell ref="AE170:AF170"/>
    <mergeCell ref="AE171:AF171"/>
    <mergeCell ref="AE164:AF164"/>
    <mergeCell ref="AE165:AF165"/>
    <mergeCell ref="AE166:AF166"/>
    <mergeCell ref="AE137:AF137"/>
    <mergeCell ref="AE138:AF138"/>
    <mergeCell ref="AE151:AF151"/>
    <mergeCell ref="AE152:AF152"/>
    <mergeCell ref="AE163:AF163"/>
    <mergeCell ref="AE132:AF132"/>
    <mergeCell ref="AE133:AF133"/>
    <mergeCell ref="AE134:AF134"/>
    <mergeCell ref="AE135:AF135"/>
    <mergeCell ref="AE136:AF136"/>
    <mergeCell ref="AE139:AF139"/>
    <mergeCell ref="AE140:AF140"/>
    <mergeCell ref="AE141:AF141"/>
    <mergeCell ref="AE142:AF142"/>
    <mergeCell ref="AE143:AF143"/>
    <mergeCell ref="AE144:AF144"/>
    <mergeCell ref="AE145:AF145"/>
    <mergeCell ref="AE146:AF146"/>
    <mergeCell ref="AE147:AF147"/>
    <mergeCell ref="AE148:AF148"/>
    <mergeCell ref="AE149:AF149"/>
    <mergeCell ref="AE150:AF150"/>
    <mergeCell ref="AE153:AF153"/>
    <mergeCell ref="AE154:AF154"/>
    <mergeCell ref="AE155:AF155"/>
    <mergeCell ref="AG110:AH110"/>
    <mergeCell ref="AG111:AH111"/>
    <mergeCell ref="AG112:AH112"/>
    <mergeCell ref="AG113:AH113"/>
    <mergeCell ref="AG114:AH114"/>
    <mergeCell ref="AG105:AH105"/>
    <mergeCell ref="AG106:AH106"/>
    <mergeCell ref="AG107:AH107"/>
    <mergeCell ref="AG108:AH108"/>
    <mergeCell ref="AG109:AH109"/>
    <mergeCell ref="AE177:AF177"/>
    <mergeCell ref="AG9:AH9"/>
    <mergeCell ref="AG91:AH91"/>
    <mergeCell ref="AG92:AH92"/>
    <mergeCell ref="AG93:AH93"/>
    <mergeCell ref="AG94:AH94"/>
    <mergeCell ref="AG95:AH95"/>
    <mergeCell ref="AG96:AH96"/>
    <mergeCell ref="AG97:AH97"/>
    <mergeCell ref="AG98:AH98"/>
    <mergeCell ref="AG99:AH99"/>
    <mergeCell ref="AG100:AH100"/>
    <mergeCell ref="AG101:AH101"/>
    <mergeCell ref="AG102:AH102"/>
    <mergeCell ref="AG103:AH103"/>
    <mergeCell ref="AG104:AH104"/>
    <mergeCell ref="AE172:AF172"/>
    <mergeCell ref="AE173:AF173"/>
    <mergeCell ref="AE174:AF174"/>
    <mergeCell ref="AE175:AF175"/>
    <mergeCell ref="AE176:AF176"/>
    <mergeCell ref="AE167:AF167"/>
    <mergeCell ref="AG130:AH130"/>
    <mergeCell ref="AG131:AH131"/>
    <mergeCell ref="AG132:AH132"/>
    <mergeCell ref="AG133:AH133"/>
    <mergeCell ref="AG134:AH134"/>
    <mergeCell ref="AG125:AH125"/>
    <mergeCell ref="AG126:AH126"/>
    <mergeCell ref="AG127:AH127"/>
    <mergeCell ref="AG128:AH128"/>
    <mergeCell ref="AG129:AH129"/>
    <mergeCell ref="AG120:AH120"/>
    <mergeCell ref="AG121:AH121"/>
    <mergeCell ref="AG122:AH122"/>
    <mergeCell ref="AG123:AH123"/>
    <mergeCell ref="AG124:AH124"/>
    <mergeCell ref="AG115:AH115"/>
    <mergeCell ref="AG116:AH116"/>
    <mergeCell ref="AG117:AH117"/>
    <mergeCell ref="AG118:AH118"/>
    <mergeCell ref="AG119:AH119"/>
    <mergeCell ref="AG177:AH177"/>
    <mergeCell ref="AI9:AJ9"/>
    <mergeCell ref="AI91:AJ91"/>
    <mergeCell ref="AI92:AJ92"/>
    <mergeCell ref="AI93:AJ93"/>
    <mergeCell ref="AI94:AJ94"/>
    <mergeCell ref="AI95:AJ95"/>
    <mergeCell ref="AI96:AJ96"/>
    <mergeCell ref="AI97:AJ97"/>
    <mergeCell ref="AI98:AJ98"/>
    <mergeCell ref="AI99:AJ99"/>
    <mergeCell ref="AI100:AJ100"/>
    <mergeCell ref="AI101:AJ101"/>
    <mergeCell ref="AI102:AJ102"/>
    <mergeCell ref="AG170:AH170"/>
    <mergeCell ref="AG171:AH171"/>
    <mergeCell ref="AG172:AH172"/>
    <mergeCell ref="AG173:AH173"/>
    <mergeCell ref="AG174:AH174"/>
    <mergeCell ref="AG167:AH167"/>
    <mergeCell ref="AG168:AH168"/>
    <mergeCell ref="AG169:AH169"/>
    <mergeCell ref="AG152:AH152"/>
    <mergeCell ref="AG163:AH163"/>
    <mergeCell ref="AG164:AH164"/>
    <mergeCell ref="AG165:AH165"/>
    <mergeCell ref="AG166:AH166"/>
    <mergeCell ref="AG153:AH153"/>
    <mergeCell ref="AG154:AH154"/>
    <mergeCell ref="AG155:AH155"/>
    <mergeCell ref="AG156:AH156"/>
    <mergeCell ref="AG157:AH157"/>
    <mergeCell ref="AG175:AH175"/>
    <mergeCell ref="AG176:AH176"/>
    <mergeCell ref="AG158:AH158"/>
    <mergeCell ref="AG159:AH159"/>
    <mergeCell ref="AG160:AH160"/>
    <mergeCell ref="AG161:AH161"/>
    <mergeCell ref="AG162:AH162"/>
    <mergeCell ref="AG135:AH135"/>
    <mergeCell ref="AG136:AH136"/>
    <mergeCell ref="AG137:AH137"/>
    <mergeCell ref="AG138:AH138"/>
    <mergeCell ref="AG151:AH151"/>
    <mergeCell ref="AG144:AH144"/>
    <mergeCell ref="AG145:AH145"/>
    <mergeCell ref="AG146:AH146"/>
    <mergeCell ref="AG147:AH147"/>
    <mergeCell ref="AG148:AH148"/>
    <mergeCell ref="AG149:AH149"/>
    <mergeCell ref="AG150:AH150"/>
    <mergeCell ref="AI175:AJ175"/>
    <mergeCell ref="AI176:AJ176"/>
    <mergeCell ref="AI177:AJ177"/>
    <mergeCell ref="AI168:AJ168"/>
    <mergeCell ref="AI169:AJ169"/>
    <mergeCell ref="AI170:AJ170"/>
    <mergeCell ref="AI171:AJ171"/>
    <mergeCell ref="AI172:AJ172"/>
    <mergeCell ref="AI165:AJ165"/>
    <mergeCell ref="AI166:AJ166"/>
    <mergeCell ref="AI167:AJ167"/>
    <mergeCell ref="AI138:AJ138"/>
    <mergeCell ref="AI151:AJ151"/>
    <mergeCell ref="AI152:AJ152"/>
    <mergeCell ref="AI163:AJ163"/>
    <mergeCell ref="AI164:AJ164"/>
    <mergeCell ref="AI133:AJ133"/>
    <mergeCell ref="AI134:AJ134"/>
    <mergeCell ref="AI135:AJ135"/>
    <mergeCell ref="AI136:AJ136"/>
    <mergeCell ref="AI137:AJ137"/>
    <mergeCell ref="AI155:AJ155"/>
    <mergeCell ref="AI156:AJ156"/>
    <mergeCell ref="AI157:AJ157"/>
    <mergeCell ref="AI158:AJ158"/>
    <mergeCell ref="AI159:AJ159"/>
    <mergeCell ref="AI160:AJ160"/>
    <mergeCell ref="AI161:AJ161"/>
    <mergeCell ref="AI162:AJ162"/>
    <mergeCell ref="AI143:AJ143"/>
    <mergeCell ref="AI144:AJ144"/>
    <mergeCell ref="AI145:AJ145"/>
    <mergeCell ref="AK104:AL104"/>
    <mergeCell ref="AK105:AL105"/>
    <mergeCell ref="AK106:AL106"/>
    <mergeCell ref="AK107:AL107"/>
    <mergeCell ref="AK108:AL108"/>
    <mergeCell ref="AK99:AL99"/>
    <mergeCell ref="AK100:AL100"/>
    <mergeCell ref="AK101:AL101"/>
    <mergeCell ref="AK102:AL102"/>
    <mergeCell ref="AK103:AL103"/>
    <mergeCell ref="AK94:AL94"/>
    <mergeCell ref="AK95:AL95"/>
    <mergeCell ref="AK96:AL96"/>
    <mergeCell ref="AK97:AL97"/>
    <mergeCell ref="AK98:AL98"/>
    <mergeCell ref="AI173:AJ173"/>
    <mergeCell ref="AI174:AJ174"/>
    <mergeCell ref="AI128:AJ128"/>
    <mergeCell ref="AI129:AJ129"/>
    <mergeCell ref="AI130:AJ130"/>
    <mergeCell ref="AI131:AJ131"/>
    <mergeCell ref="AI132:AJ132"/>
    <mergeCell ref="AI123:AJ123"/>
    <mergeCell ref="AI124:AJ124"/>
    <mergeCell ref="AI125:AJ125"/>
    <mergeCell ref="AI126:AJ126"/>
    <mergeCell ref="AI127:AJ127"/>
    <mergeCell ref="AI118:AJ118"/>
    <mergeCell ref="AI119:AJ119"/>
    <mergeCell ref="AI120:AJ120"/>
    <mergeCell ref="AI121:AJ121"/>
    <mergeCell ref="AI122:AJ122"/>
    <mergeCell ref="AK124:AL124"/>
    <mergeCell ref="AK125:AL125"/>
    <mergeCell ref="AK126:AL126"/>
    <mergeCell ref="AK127:AL127"/>
    <mergeCell ref="AK128:AL128"/>
    <mergeCell ref="AK119:AL119"/>
    <mergeCell ref="AK120:AL120"/>
    <mergeCell ref="AK121:AL121"/>
    <mergeCell ref="AK122:AL122"/>
    <mergeCell ref="AK123:AL123"/>
    <mergeCell ref="AK114:AL114"/>
    <mergeCell ref="AK115:AL115"/>
    <mergeCell ref="AK116:AL116"/>
    <mergeCell ref="AK117:AL117"/>
    <mergeCell ref="AK118:AL118"/>
    <mergeCell ref="AK109:AL109"/>
    <mergeCell ref="AK110:AL110"/>
    <mergeCell ref="AK111:AL111"/>
    <mergeCell ref="AK112:AL112"/>
    <mergeCell ref="AK113:AL113"/>
    <mergeCell ref="AK176:AL176"/>
    <mergeCell ref="AK177:AL177"/>
    <mergeCell ref="AM9:AN9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K169:AL169"/>
    <mergeCell ref="AK170:AL170"/>
    <mergeCell ref="AK171:AL171"/>
    <mergeCell ref="AK172:AL172"/>
    <mergeCell ref="AK173:AL173"/>
    <mergeCell ref="AK166:AL166"/>
    <mergeCell ref="AK167:AL167"/>
    <mergeCell ref="AK168:AL168"/>
    <mergeCell ref="AK151:AL151"/>
    <mergeCell ref="AK152:AL152"/>
    <mergeCell ref="AK163:AL163"/>
    <mergeCell ref="AK164:AL164"/>
    <mergeCell ref="AK165:AL165"/>
    <mergeCell ref="AK155:AL155"/>
    <mergeCell ref="AK156:AL156"/>
    <mergeCell ref="AK157:AL157"/>
    <mergeCell ref="AK158:AL158"/>
    <mergeCell ref="AK159:AL159"/>
    <mergeCell ref="AK174:AL174"/>
    <mergeCell ref="AK175:AL175"/>
    <mergeCell ref="AK160:AL160"/>
    <mergeCell ref="AK161:AL161"/>
    <mergeCell ref="AK162:AL162"/>
    <mergeCell ref="AK134:AL134"/>
    <mergeCell ref="AK135:AL135"/>
    <mergeCell ref="AK136:AL136"/>
    <mergeCell ref="AK137:AL137"/>
    <mergeCell ref="AK138:AL138"/>
    <mergeCell ref="AK129:AL129"/>
    <mergeCell ref="AK130:AL130"/>
    <mergeCell ref="AK131:AL131"/>
    <mergeCell ref="AK132:AL132"/>
    <mergeCell ref="AK133:AL133"/>
    <mergeCell ref="AK148:AL148"/>
    <mergeCell ref="AK149:AL149"/>
    <mergeCell ref="AM133:AN133"/>
    <mergeCell ref="AM134:AN134"/>
    <mergeCell ref="AM135:AN135"/>
    <mergeCell ref="AM136:AN136"/>
    <mergeCell ref="AM127:AN127"/>
    <mergeCell ref="AM128:AN128"/>
    <mergeCell ref="AM129:AN129"/>
    <mergeCell ref="AM130:AN130"/>
    <mergeCell ref="AM131:AN131"/>
    <mergeCell ref="AM122:AN122"/>
    <mergeCell ref="AM123:AN123"/>
    <mergeCell ref="AM124:AN124"/>
    <mergeCell ref="AM125:AN125"/>
    <mergeCell ref="AM126:AN126"/>
    <mergeCell ref="AM117:AN117"/>
    <mergeCell ref="AM118:AN118"/>
    <mergeCell ref="AM119:AN119"/>
    <mergeCell ref="AM120:AN120"/>
    <mergeCell ref="AM121:AN121"/>
    <mergeCell ref="AM177:AN177"/>
    <mergeCell ref="AO9:AP9"/>
    <mergeCell ref="AO91:AP91"/>
    <mergeCell ref="AO92:AP92"/>
    <mergeCell ref="AO93:AP93"/>
    <mergeCell ref="AO94:AP94"/>
    <mergeCell ref="AO95:AP95"/>
    <mergeCell ref="AO96:AP96"/>
    <mergeCell ref="AO97:AP97"/>
    <mergeCell ref="AO98:AP98"/>
    <mergeCell ref="AO99:AP99"/>
    <mergeCell ref="AO100:AP100"/>
    <mergeCell ref="AO101:AP101"/>
    <mergeCell ref="AO102:AP102"/>
    <mergeCell ref="AO103:AP103"/>
    <mergeCell ref="AO104:AP104"/>
    <mergeCell ref="AM172:AN172"/>
    <mergeCell ref="AM173:AN173"/>
    <mergeCell ref="AM174:AN174"/>
    <mergeCell ref="AM175:AN175"/>
    <mergeCell ref="AM176:AN176"/>
    <mergeCell ref="AM167:AN167"/>
    <mergeCell ref="AM171:AN171"/>
    <mergeCell ref="AM164:AN164"/>
    <mergeCell ref="AM165:AN165"/>
    <mergeCell ref="AM166:AN166"/>
    <mergeCell ref="AM137:AN137"/>
    <mergeCell ref="AM138:AN138"/>
    <mergeCell ref="AM151:AN151"/>
    <mergeCell ref="AM152:AN152"/>
    <mergeCell ref="AM163:AN163"/>
    <mergeCell ref="AM132:AN132"/>
    <mergeCell ref="AO134:AP134"/>
    <mergeCell ref="AO125:AP125"/>
    <mergeCell ref="AO126:AP126"/>
    <mergeCell ref="AO127:AP127"/>
    <mergeCell ref="AO128:AP128"/>
    <mergeCell ref="AO129:AP129"/>
    <mergeCell ref="AO120:AP120"/>
    <mergeCell ref="AO121:AP121"/>
    <mergeCell ref="AO122:AP122"/>
    <mergeCell ref="AO123:AP123"/>
    <mergeCell ref="AO124:AP124"/>
    <mergeCell ref="AO115:AP115"/>
    <mergeCell ref="AO116:AP116"/>
    <mergeCell ref="AO117:AP117"/>
    <mergeCell ref="AO118:AP118"/>
    <mergeCell ref="AO119:AP119"/>
    <mergeCell ref="AO110:AP110"/>
    <mergeCell ref="AO111:AP111"/>
    <mergeCell ref="AO112:AP112"/>
    <mergeCell ref="AO130:AP130"/>
    <mergeCell ref="AO131:AP131"/>
    <mergeCell ref="AO132:AP132"/>
    <mergeCell ref="AO133:AP133"/>
    <mergeCell ref="AO113:AP113"/>
    <mergeCell ref="AO114:AP114"/>
    <mergeCell ref="AO105:AP105"/>
    <mergeCell ref="AO106:AP106"/>
    <mergeCell ref="AO107:AP107"/>
    <mergeCell ref="AO108:AP108"/>
    <mergeCell ref="AO109:AP109"/>
    <mergeCell ref="AQ119:AR119"/>
    <mergeCell ref="AQ120:AR120"/>
    <mergeCell ref="AQ121:AR121"/>
    <mergeCell ref="AQ122:AR122"/>
    <mergeCell ref="AQ112:AR112"/>
    <mergeCell ref="AQ103:AR103"/>
    <mergeCell ref="AQ104:AR104"/>
    <mergeCell ref="AQ105:AR105"/>
    <mergeCell ref="AQ113:AR113"/>
    <mergeCell ref="AQ114:AR114"/>
    <mergeCell ref="AQ115:AR115"/>
    <mergeCell ref="AQ116:AR116"/>
    <mergeCell ref="AQ117:AR117"/>
    <mergeCell ref="AQ108:AR108"/>
    <mergeCell ref="AQ109:AR109"/>
    <mergeCell ref="AQ110:AR110"/>
    <mergeCell ref="AQ111:AR111"/>
    <mergeCell ref="AQ106:AR106"/>
    <mergeCell ref="AQ107:AR107"/>
    <mergeCell ref="AO171:AP171"/>
    <mergeCell ref="AO172:AP172"/>
    <mergeCell ref="AO173:AP173"/>
    <mergeCell ref="AO167:AP167"/>
    <mergeCell ref="AO168:AP168"/>
    <mergeCell ref="AO169:AP169"/>
    <mergeCell ref="AO152:AP152"/>
    <mergeCell ref="AO163:AP163"/>
    <mergeCell ref="AO164:AP164"/>
    <mergeCell ref="AO165:AP165"/>
    <mergeCell ref="AO166:AP166"/>
    <mergeCell ref="AO156:AP156"/>
    <mergeCell ref="AO157:AP157"/>
    <mergeCell ref="AO158:AP158"/>
    <mergeCell ref="AQ135:AR135"/>
    <mergeCell ref="AQ136:AR136"/>
    <mergeCell ref="AQ137:AR137"/>
    <mergeCell ref="AO159:AP159"/>
    <mergeCell ref="AO160:AP160"/>
    <mergeCell ref="AO161:AP161"/>
    <mergeCell ref="AO162:AP162"/>
    <mergeCell ref="AQ155:AR155"/>
    <mergeCell ref="AQ156:AR156"/>
    <mergeCell ref="AQ157:AR157"/>
    <mergeCell ref="AQ158:AR158"/>
    <mergeCell ref="AQ159:AR159"/>
    <mergeCell ref="AQ160:AR160"/>
    <mergeCell ref="AQ161:AR161"/>
    <mergeCell ref="AQ162:AR162"/>
    <mergeCell ref="AO149:AP149"/>
    <mergeCell ref="AO150:AP150"/>
    <mergeCell ref="AO153:AP153"/>
    <mergeCell ref="AS8:AT8"/>
    <mergeCell ref="AS9:AT9"/>
    <mergeCell ref="AS91:AT91"/>
    <mergeCell ref="AS111:AT111"/>
    <mergeCell ref="AS102:AT102"/>
    <mergeCell ref="AS103:AT103"/>
    <mergeCell ref="AS104:AT104"/>
    <mergeCell ref="AS105:AT105"/>
    <mergeCell ref="AS106:AT106"/>
    <mergeCell ref="AS97:AT97"/>
    <mergeCell ref="AS98:AT98"/>
    <mergeCell ref="AS99:AT99"/>
    <mergeCell ref="AS100:AT100"/>
    <mergeCell ref="AS101:AT101"/>
    <mergeCell ref="AO175:AP175"/>
    <mergeCell ref="AO176:AP176"/>
    <mergeCell ref="AO174:AP174"/>
    <mergeCell ref="AO135:AP135"/>
    <mergeCell ref="AO136:AP136"/>
    <mergeCell ref="AO137:AP137"/>
    <mergeCell ref="AO138:AP138"/>
    <mergeCell ref="AO151:AP151"/>
    <mergeCell ref="AO139:AP139"/>
    <mergeCell ref="AO140:AP140"/>
    <mergeCell ref="AO141:AP141"/>
    <mergeCell ref="AO142:AP142"/>
    <mergeCell ref="AO143:AP143"/>
    <mergeCell ref="AO144:AP144"/>
    <mergeCell ref="AO145:AP145"/>
    <mergeCell ref="AO146:AP146"/>
    <mergeCell ref="AO147:AP147"/>
    <mergeCell ref="AO170:AP170"/>
    <mergeCell ref="A1:AV1"/>
    <mergeCell ref="AQ173:AR173"/>
    <mergeCell ref="AQ174:AR174"/>
    <mergeCell ref="AQ168:AR168"/>
    <mergeCell ref="AQ169:AR169"/>
    <mergeCell ref="AQ170:AR170"/>
    <mergeCell ref="AQ171:AR171"/>
    <mergeCell ref="AQ172:AR172"/>
    <mergeCell ref="AQ165:AR165"/>
    <mergeCell ref="AQ166:AR166"/>
    <mergeCell ref="AQ167:AR167"/>
    <mergeCell ref="AQ138:AR138"/>
    <mergeCell ref="AQ151:AR151"/>
    <mergeCell ref="AQ152:AR152"/>
    <mergeCell ref="AQ163:AR163"/>
    <mergeCell ref="AQ164:AR164"/>
    <mergeCell ref="AQ133:AR133"/>
    <mergeCell ref="AQ134:AR134"/>
    <mergeCell ref="AS112:AT112"/>
    <mergeCell ref="AS113:AT113"/>
    <mergeCell ref="AS114:AT114"/>
    <mergeCell ref="AS115:AT115"/>
    <mergeCell ref="AS116:AT116"/>
    <mergeCell ref="AS107:AT107"/>
    <mergeCell ref="AS108:AT108"/>
    <mergeCell ref="AS109:AT109"/>
    <mergeCell ref="AS110:AT110"/>
    <mergeCell ref="AQ124:AR124"/>
    <mergeCell ref="AQ125:AR125"/>
    <mergeCell ref="AQ126:AR126"/>
    <mergeCell ref="AQ127:AR127"/>
    <mergeCell ref="AQ118:AR118"/>
    <mergeCell ref="AS135:AT135"/>
    <mergeCell ref="AS136:AT136"/>
    <mergeCell ref="AS127:AT127"/>
    <mergeCell ref="AS128:AT128"/>
    <mergeCell ref="AS129:AT129"/>
    <mergeCell ref="AS130:AT130"/>
    <mergeCell ref="AS131:AT131"/>
    <mergeCell ref="AS122:AT122"/>
    <mergeCell ref="AS123:AT123"/>
    <mergeCell ref="AS124:AT124"/>
    <mergeCell ref="AS125:AT125"/>
    <mergeCell ref="AS126:AT126"/>
    <mergeCell ref="AQ128:AR128"/>
    <mergeCell ref="AQ129:AR129"/>
    <mergeCell ref="AQ130:AR130"/>
    <mergeCell ref="AQ131:AR131"/>
    <mergeCell ref="AQ132:AR132"/>
    <mergeCell ref="AQ123:AR123"/>
    <mergeCell ref="AU94:AV94"/>
    <mergeCell ref="AU95:AV95"/>
    <mergeCell ref="AU96:AV96"/>
    <mergeCell ref="AU97:AV97"/>
    <mergeCell ref="AU98:AV98"/>
    <mergeCell ref="AS182:AT182"/>
    <mergeCell ref="AS183:AT183"/>
    <mergeCell ref="AU8:AV8"/>
    <mergeCell ref="AU9:AV9"/>
    <mergeCell ref="AU91:AV91"/>
    <mergeCell ref="AU92:AV92"/>
    <mergeCell ref="AU93:AV93"/>
    <mergeCell ref="AS177:AT177"/>
    <mergeCell ref="AS178:AT178"/>
    <mergeCell ref="AS179:AT179"/>
    <mergeCell ref="AS180:AT180"/>
    <mergeCell ref="AS181:AT181"/>
    <mergeCell ref="AS172:AT172"/>
    <mergeCell ref="AS173:AT173"/>
    <mergeCell ref="AS174:AT174"/>
    <mergeCell ref="AS175:AT175"/>
    <mergeCell ref="AS176:AT176"/>
    <mergeCell ref="AS167:AT167"/>
    <mergeCell ref="AS168:AT168"/>
    <mergeCell ref="AS169:AT169"/>
    <mergeCell ref="AS170:AT170"/>
    <mergeCell ref="AS171:AT171"/>
    <mergeCell ref="AS92:AT92"/>
    <mergeCell ref="AS93:AT93"/>
    <mergeCell ref="AS94:AT94"/>
    <mergeCell ref="AS95:AT95"/>
    <mergeCell ref="AS96:AT96"/>
    <mergeCell ref="AS165:AT165"/>
    <mergeCell ref="AS166:AT166"/>
    <mergeCell ref="AS137:AT137"/>
    <mergeCell ref="AS138:AT138"/>
    <mergeCell ref="AU114:AV114"/>
    <mergeCell ref="AU115:AV115"/>
    <mergeCell ref="AU116:AV116"/>
    <mergeCell ref="AU117:AV117"/>
    <mergeCell ref="AU118:AV118"/>
    <mergeCell ref="AU109:AV109"/>
    <mergeCell ref="AU110:AV110"/>
    <mergeCell ref="AU111:AV111"/>
    <mergeCell ref="AU112:AV112"/>
    <mergeCell ref="AU113:AV113"/>
    <mergeCell ref="AU104:AV104"/>
    <mergeCell ref="AU105:AV105"/>
    <mergeCell ref="AU106:AV106"/>
    <mergeCell ref="AU107:AV107"/>
    <mergeCell ref="AU108:AV108"/>
    <mergeCell ref="AS140:AT140"/>
    <mergeCell ref="AS141:AT141"/>
    <mergeCell ref="AS142:AT142"/>
    <mergeCell ref="AS143:AT143"/>
    <mergeCell ref="AS144:AT144"/>
    <mergeCell ref="AS117:AT117"/>
    <mergeCell ref="AS118:AT118"/>
    <mergeCell ref="AS119:AT119"/>
    <mergeCell ref="AS120:AT120"/>
    <mergeCell ref="AS121:AT121"/>
    <mergeCell ref="AS132:AT132"/>
    <mergeCell ref="AS133:AT133"/>
    <mergeCell ref="AS134:AT134"/>
    <mergeCell ref="AU99:AV99"/>
    <mergeCell ref="AU100:AV100"/>
    <mergeCell ref="AU101:AV101"/>
    <mergeCell ref="AU102:AV102"/>
    <mergeCell ref="AU103:AV103"/>
    <mergeCell ref="AU134:AV134"/>
    <mergeCell ref="AU135:AV135"/>
    <mergeCell ref="AU136:AV136"/>
    <mergeCell ref="AU137:AV137"/>
    <mergeCell ref="AU138:AV138"/>
    <mergeCell ref="AU129:AV129"/>
    <mergeCell ref="AU130:AV130"/>
    <mergeCell ref="AU131:AV131"/>
    <mergeCell ref="AU132:AV132"/>
    <mergeCell ref="AU133:AV133"/>
    <mergeCell ref="AU124:AV124"/>
    <mergeCell ref="AU125:AV125"/>
    <mergeCell ref="AU126:AV126"/>
    <mergeCell ref="AU127:AV127"/>
    <mergeCell ref="AU128:AV128"/>
    <mergeCell ref="AU119:AV119"/>
    <mergeCell ref="AU120:AV120"/>
    <mergeCell ref="AU121:AV121"/>
    <mergeCell ref="AU122:AV122"/>
    <mergeCell ref="AU123:AV123"/>
    <mergeCell ref="AU182:AV182"/>
    <mergeCell ref="AU183:AV183"/>
    <mergeCell ref="AU174:AV174"/>
    <mergeCell ref="AU175:AV175"/>
    <mergeCell ref="AU176:AV176"/>
    <mergeCell ref="AU177:AV177"/>
    <mergeCell ref="AU178:AV178"/>
    <mergeCell ref="AU169:AV169"/>
    <mergeCell ref="AU170:AV170"/>
    <mergeCell ref="AU171:AV171"/>
    <mergeCell ref="AU172:AV172"/>
    <mergeCell ref="AU173:AV173"/>
    <mergeCell ref="AU166:AV166"/>
    <mergeCell ref="AU167:AV167"/>
    <mergeCell ref="AU168:AV168"/>
    <mergeCell ref="AU151:AV151"/>
    <mergeCell ref="AU152:AV152"/>
    <mergeCell ref="AU163:AV163"/>
    <mergeCell ref="AU164:AV164"/>
    <mergeCell ref="AU165:AV165"/>
    <mergeCell ref="AU154:AV154"/>
    <mergeCell ref="AU155:AV155"/>
    <mergeCell ref="AU156:AV156"/>
    <mergeCell ref="AU157:AV157"/>
    <mergeCell ref="AU158:AV158"/>
    <mergeCell ref="AU159:AV159"/>
    <mergeCell ref="AU160:AV160"/>
    <mergeCell ref="AU161:AV161"/>
    <mergeCell ref="AU162:AV162"/>
    <mergeCell ref="AU179:AV179"/>
    <mergeCell ref="AU180:AV180"/>
    <mergeCell ref="AU181:AV181"/>
    <mergeCell ref="AS151:AT151"/>
    <mergeCell ref="AS152:AT152"/>
    <mergeCell ref="AS163:AT163"/>
    <mergeCell ref="AS145:AT145"/>
    <mergeCell ref="AS146:AT146"/>
    <mergeCell ref="AS147:AT147"/>
    <mergeCell ref="AS148:AT148"/>
    <mergeCell ref="AQ175:AR175"/>
    <mergeCell ref="AQ176:AR176"/>
    <mergeCell ref="AQ177:AR177"/>
    <mergeCell ref="AO177:AP177"/>
    <mergeCell ref="AO148:AP148"/>
    <mergeCell ref="AM168:AN168"/>
    <mergeCell ref="AM169:AN169"/>
    <mergeCell ref="AM170:AN170"/>
    <mergeCell ref="M160:N160"/>
    <mergeCell ref="M161:N161"/>
    <mergeCell ref="M162:N162"/>
    <mergeCell ref="U156:V156"/>
    <mergeCell ref="AS164:AT164"/>
    <mergeCell ref="M155:N155"/>
    <mergeCell ref="M156:N156"/>
    <mergeCell ref="M157:N157"/>
    <mergeCell ref="M158:N158"/>
    <mergeCell ref="M159:N159"/>
    <mergeCell ref="Q153:R153"/>
    <mergeCell ref="Q154:R154"/>
    <mergeCell ref="Q155:R155"/>
    <mergeCell ref="Q156:R156"/>
    <mergeCell ref="Q157:R157"/>
    <mergeCell ref="Q146:R146"/>
    <mergeCell ref="Q147:R147"/>
    <mergeCell ref="Q148:R148"/>
    <mergeCell ref="Q149:R149"/>
    <mergeCell ref="Q140:R140"/>
    <mergeCell ref="Q141:R141"/>
    <mergeCell ref="Q142:R142"/>
    <mergeCell ref="Q143:R143"/>
    <mergeCell ref="Q144:R144"/>
    <mergeCell ref="M154:N154"/>
    <mergeCell ref="Q145:R145"/>
    <mergeCell ref="O151:P151"/>
    <mergeCell ref="O152:P152"/>
    <mergeCell ref="O143:P143"/>
    <mergeCell ref="O144:P144"/>
    <mergeCell ref="O145:P145"/>
    <mergeCell ref="O146:P146"/>
    <mergeCell ref="O147:P147"/>
    <mergeCell ref="O148:P148"/>
    <mergeCell ref="O149:P149"/>
    <mergeCell ref="O150:P150"/>
    <mergeCell ref="O153:P153"/>
    <mergeCell ref="O154:P154"/>
    <mergeCell ref="Y141:Z141"/>
    <mergeCell ref="AG139:AH139"/>
    <mergeCell ref="AG140:AH140"/>
    <mergeCell ref="AG141:AH141"/>
    <mergeCell ref="AG142:AH142"/>
    <mergeCell ref="AG143:AH143"/>
    <mergeCell ref="AC139:AD139"/>
    <mergeCell ref="AC140:AD140"/>
    <mergeCell ref="AC141:AD141"/>
    <mergeCell ref="AC142:AD142"/>
    <mergeCell ref="AC143:AD143"/>
    <mergeCell ref="AC149:AD149"/>
    <mergeCell ref="AC150:AD150"/>
    <mergeCell ref="AC153:AD153"/>
    <mergeCell ref="AC154:AD154"/>
    <mergeCell ref="AC155:AD155"/>
    <mergeCell ref="AC145:AD145"/>
    <mergeCell ref="AC146:AD146"/>
    <mergeCell ref="AA154:AB154"/>
    <mergeCell ref="AA155:AB155"/>
    <mergeCell ref="AO154:AP154"/>
    <mergeCell ref="AO155:AP155"/>
    <mergeCell ref="AK144:AL144"/>
    <mergeCell ref="AK145:AL145"/>
    <mergeCell ref="AK146:AL146"/>
    <mergeCell ref="AK147:AL147"/>
    <mergeCell ref="AK139:AL139"/>
    <mergeCell ref="AK140:AL140"/>
    <mergeCell ref="AK141:AL141"/>
    <mergeCell ref="AK142:AL142"/>
    <mergeCell ref="AK143:AL143"/>
    <mergeCell ref="AK150:AL150"/>
    <mergeCell ref="AK153:AL153"/>
    <mergeCell ref="AK154:AL154"/>
    <mergeCell ref="AM145:AN145"/>
    <mergeCell ref="AM146:AN146"/>
    <mergeCell ref="AM147:AN147"/>
    <mergeCell ref="AM148:AN148"/>
    <mergeCell ref="AM149:AN149"/>
    <mergeCell ref="AM150:AN150"/>
    <mergeCell ref="AM153:AN153"/>
    <mergeCell ref="AM154:AN154"/>
    <mergeCell ref="AM155:AN155"/>
    <mergeCell ref="K6:Z7"/>
    <mergeCell ref="AA6:AN7"/>
    <mergeCell ref="AO6:AV7"/>
    <mergeCell ref="M2:Z5"/>
    <mergeCell ref="AA2:AN5"/>
    <mergeCell ref="AO2:AV5"/>
    <mergeCell ref="AS161:AT161"/>
    <mergeCell ref="AS162:AT162"/>
    <mergeCell ref="AU139:AV139"/>
    <mergeCell ref="AU140:AV140"/>
    <mergeCell ref="AU141:AV141"/>
    <mergeCell ref="AU142:AV142"/>
    <mergeCell ref="AU143:AV143"/>
    <mergeCell ref="AU144:AV144"/>
    <mergeCell ref="AU145:AV145"/>
    <mergeCell ref="AU146:AV146"/>
    <mergeCell ref="AU147:AV147"/>
    <mergeCell ref="AU148:AV148"/>
    <mergeCell ref="AU149:AV149"/>
    <mergeCell ref="AU150:AV150"/>
    <mergeCell ref="AU153:AV153"/>
    <mergeCell ref="AS156:AT156"/>
    <mergeCell ref="AS157:AT157"/>
    <mergeCell ref="AS158:AT158"/>
    <mergeCell ref="AS159:AT159"/>
    <mergeCell ref="AS160:AT160"/>
    <mergeCell ref="AS149:AT149"/>
    <mergeCell ref="AS150:AT150"/>
    <mergeCell ref="AS153:AT153"/>
    <mergeCell ref="AS154:AT154"/>
    <mergeCell ref="AS155:AT155"/>
    <mergeCell ref="AS139:AT139"/>
  </mergeCells>
  <pageMargins left="0.25" right="0.25" top="0.75" bottom="0.75" header="0.3" footer="0.3"/>
  <pageSetup paperSize="9" scale="48" fitToHeight="0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AC75-32BF-3D40-83FF-2BD33855FFB7}">
  <dimension ref="A1:H11"/>
  <sheetViews>
    <sheetView zoomScale="178" workbookViewId="0">
      <selection activeCell="B14" sqref="B14"/>
    </sheetView>
  </sheetViews>
  <sheetFormatPr baseColWidth="10" defaultRowHeight="15" x14ac:dyDescent="0.2"/>
  <cols>
    <col min="1" max="1" width="28.5" style="2" customWidth="1"/>
    <col min="2" max="2" width="17.83203125" style="2" customWidth="1"/>
    <col min="3" max="16384" width="10.83203125" style="2"/>
  </cols>
  <sheetData>
    <row r="1" spans="1:8" ht="41" customHeight="1" x14ac:dyDescent="0.2">
      <c r="A1" s="188" t="s">
        <v>76</v>
      </c>
      <c r="B1" s="188"/>
      <c r="C1" s="188"/>
      <c r="D1" s="188"/>
      <c r="E1" s="188"/>
      <c r="F1" s="51"/>
      <c r="G1" s="51"/>
      <c r="H1" s="51"/>
    </row>
    <row r="2" spans="1:8" ht="19" customHeight="1" x14ac:dyDescent="0.2">
      <c r="A2" s="55" t="s">
        <v>77</v>
      </c>
      <c r="B2" s="52">
        <v>2.5</v>
      </c>
      <c r="C2" s="52">
        <v>1.9</v>
      </c>
      <c r="D2" s="52">
        <v>1.4</v>
      </c>
      <c r="E2" s="52">
        <v>39</v>
      </c>
    </row>
    <row r="3" spans="1:8" ht="15" customHeight="1" x14ac:dyDescent="0.2">
      <c r="A3" s="192"/>
      <c r="B3" s="52"/>
      <c r="C3" s="52"/>
      <c r="D3" s="52"/>
      <c r="E3" s="52"/>
    </row>
    <row r="4" spans="1:8" x14ac:dyDescent="0.2">
      <c r="A4" s="192"/>
      <c r="B4" s="52">
        <v>8</v>
      </c>
      <c r="C4" s="52">
        <v>7</v>
      </c>
      <c r="D4" s="52">
        <v>4</v>
      </c>
      <c r="E4" s="52"/>
    </row>
    <row r="5" spans="1:8" x14ac:dyDescent="0.2">
      <c r="A5" s="192"/>
      <c r="B5" s="52">
        <f>SUM(B4*B2)</f>
        <v>20</v>
      </c>
      <c r="C5" s="52">
        <f>SUM(C4*C2)</f>
        <v>13.299999999999999</v>
      </c>
      <c r="D5" s="52">
        <f>SUM(D4*D2)</f>
        <v>5.6</v>
      </c>
      <c r="E5" s="52"/>
    </row>
    <row r="6" spans="1:8" x14ac:dyDescent="0.2">
      <c r="A6" s="192"/>
      <c r="B6" s="53">
        <f>A3/E2*B5</f>
        <v>0</v>
      </c>
      <c r="C6" s="53">
        <f>A3/E2*C5</f>
        <v>0</v>
      </c>
      <c r="D6" s="53">
        <f>A3/E2*D5</f>
        <v>0</v>
      </c>
      <c r="E6" s="52"/>
    </row>
    <row r="7" spans="1:8" ht="36" customHeight="1" x14ac:dyDescent="0.2">
      <c r="A7" s="192"/>
      <c r="B7" s="54" t="s">
        <v>71</v>
      </c>
      <c r="C7" s="54" t="s">
        <v>72</v>
      </c>
      <c r="D7" s="54" t="s">
        <v>73</v>
      </c>
      <c r="E7" s="189"/>
    </row>
    <row r="8" spans="1:8" x14ac:dyDescent="0.2">
      <c r="A8" s="190" t="s">
        <v>75</v>
      </c>
      <c r="B8" s="191">
        <f>B6/B4</f>
        <v>0</v>
      </c>
      <c r="C8" s="191">
        <f>C6/C4</f>
        <v>0</v>
      </c>
      <c r="D8" s="191">
        <f>D6/D4</f>
        <v>0</v>
      </c>
      <c r="E8" s="189"/>
    </row>
    <row r="9" spans="1:8" x14ac:dyDescent="0.2">
      <c r="A9" s="190"/>
      <c r="B9" s="191"/>
      <c r="C9" s="191"/>
      <c r="D9" s="191"/>
      <c r="E9" s="189"/>
    </row>
    <row r="10" spans="1:8" x14ac:dyDescent="0.2">
      <c r="A10" s="190"/>
      <c r="B10" s="191"/>
      <c r="C10" s="191"/>
      <c r="D10" s="191"/>
      <c r="E10" s="189"/>
    </row>
    <row r="11" spans="1:8" x14ac:dyDescent="0.2">
      <c r="A11" s="190"/>
      <c r="B11" s="191"/>
      <c r="C11" s="191"/>
      <c r="D11" s="191"/>
      <c r="E11" s="189"/>
    </row>
  </sheetData>
  <mergeCells count="7">
    <mergeCell ref="A1:E1"/>
    <mergeCell ref="E7:E11"/>
    <mergeCell ref="A8:A11"/>
    <mergeCell ref="B8:B11"/>
    <mergeCell ref="C8:C11"/>
    <mergeCell ref="D8:D11"/>
    <mergeCell ref="A3:A7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ALS 10 BAZAR</vt:lpstr>
      <vt:lpstr>LIMITE DE PRECO</vt:lpstr>
      <vt:lpstr>SEPARACAO</vt:lpstr>
      <vt:lpstr>CALCULADORA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Joice</dc:creator>
  <cp:lastModifiedBy>rafael.curitibaimports@gmail.com</cp:lastModifiedBy>
  <cp:lastPrinted>2026-07-21T11:39:59Z</cp:lastPrinted>
  <dcterms:created xsi:type="dcterms:W3CDTF">2016-02-25T12:26:56Z</dcterms:created>
  <dcterms:modified xsi:type="dcterms:W3CDTF">2026-07-21T16:36:06Z</dcterms:modified>
</cp:coreProperties>
</file>
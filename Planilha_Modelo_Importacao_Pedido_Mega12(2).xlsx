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13_ncr:1_{5C0E19B5-B337-B547-81B0-58E0AF2A1F04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PEDIDO COMERCIAL" sheetId="1" r:id="rId1"/>
    <sheet name="SEPARACAO POR LOJA" sheetId="2" r:id="rId2"/>
    <sheet name="INSTRUCOES DE PREENCHIMENTO" sheetId="3" r:id="rId3"/>
    <sheet name="PARAMETROS FISCAIS" sheetId="4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F68" i="1"/>
  <c r="G67" i="1"/>
  <c r="D34" i="2" s="1"/>
  <c r="G66" i="1"/>
  <c r="D33" i="2" s="1"/>
  <c r="G65" i="1"/>
  <c r="D32" i="2" s="1"/>
  <c r="G64" i="1"/>
  <c r="D31" i="2" s="1"/>
  <c r="G63" i="1"/>
  <c r="D30" i="2" s="1"/>
  <c r="G62" i="1"/>
  <c r="D29" i="2" s="1"/>
  <c r="G61" i="1"/>
  <c r="D28" i="2" s="1"/>
  <c r="G60" i="1"/>
  <c r="D27" i="2" s="1"/>
  <c r="G59" i="1"/>
  <c r="D26" i="2" s="1"/>
  <c r="G58" i="1"/>
  <c r="D25" i="2" s="1"/>
  <c r="G57" i="1"/>
  <c r="D24" i="2" s="1"/>
  <c r="G56" i="1"/>
  <c r="D23" i="2" s="1"/>
  <c r="G55" i="1"/>
  <c r="D22" i="2" s="1"/>
  <c r="G54" i="1"/>
  <c r="D21" i="2" s="1"/>
  <c r="G53" i="1"/>
  <c r="D20" i="2" s="1"/>
  <c r="G52" i="1"/>
  <c r="D19" i="2" s="1"/>
  <c r="G51" i="1"/>
  <c r="D18" i="2" s="1"/>
  <c r="G50" i="1"/>
  <c r="D17" i="2" s="1"/>
  <c r="G49" i="1"/>
  <c r="D16" i="2" s="1"/>
  <c r="G48" i="1"/>
  <c r="D15" i="2" s="1"/>
  <c r="G47" i="1"/>
  <c r="D14" i="2" s="1"/>
  <c r="G25" i="1"/>
  <c r="D13" i="2" s="1"/>
  <c r="G24" i="1"/>
  <c r="D12" i="2" s="1"/>
  <c r="G23" i="1"/>
  <c r="D11" i="2" s="1"/>
  <c r="G22" i="1"/>
  <c r="D10" i="2" s="1"/>
  <c r="G21" i="1"/>
  <c r="D9" i="2" s="1"/>
  <c r="G20" i="1"/>
  <c r="D8" i="2" s="1"/>
  <c r="G19" i="1"/>
  <c r="D7" i="2" s="1"/>
  <c r="G18" i="1"/>
  <c r="D6" i="2" s="1"/>
  <c r="G17" i="1"/>
  <c r="D5" i="2" s="1"/>
  <c r="AA8" i="2" l="1"/>
  <c r="Z8" i="2"/>
  <c r="AA32" i="2"/>
  <c r="Z32" i="2"/>
  <c r="AA17" i="2"/>
  <c r="Z17" i="2"/>
  <c r="AA25" i="2"/>
  <c r="Z25" i="2"/>
  <c r="AA5" i="2"/>
  <c r="Z5" i="2"/>
  <c r="Z35" i="2" s="1"/>
  <c r="D35" i="2"/>
  <c r="AA35" i="2" s="1"/>
  <c r="AA13" i="2"/>
  <c r="Z13" i="2"/>
  <c r="AA21" i="2"/>
  <c r="Z21" i="2"/>
  <c r="AA29" i="2"/>
  <c r="Z29" i="2"/>
  <c r="AA6" i="2"/>
  <c r="Z6" i="2"/>
  <c r="AA14" i="2"/>
  <c r="Z14" i="2"/>
  <c r="AA22" i="2"/>
  <c r="Z22" i="2"/>
  <c r="AA30" i="2"/>
  <c r="Z30" i="2"/>
  <c r="Z7" i="2"/>
  <c r="AA7" i="2"/>
  <c r="Z15" i="2"/>
  <c r="AA15" i="2"/>
  <c r="Z23" i="2"/>
  <c r="AA23" i="2"/>
  <c r="Z31" i="2"/>
  <c r="AA31" i="2"/>
  <c r="AA16" i="2"/>
  <c r="Z16" i="2"/>
  <c r="AA24" i="2"/>
  <c r="Z24" i="2"/>
  <c r="AA9" i="2"/>
  <c r="Z9" i="2"/>
  <c r="AA33" i="2"/>
  <c r="Z33" i="2"/>
  <c r="AA10" i="2"/>
  <c r="Z10" i="2"/>
  <c r="AA18" i="2"/>
  <c r="Z18" i="2"/>
  <c r="AA26" i="2"/>
  <c r="Z26" i="2"/>
  <c r="AA34" i="2"/>
  <c r="Z34" i="2"/>
  <c r="AA11" i="2"/>
  <c r="Z11" i="2"/>
  <c r="AA19" i="2"/>
  <c r="Z19" i="2"/>
  <c r="AA27" i="2"/>
  <c r="Z27" i="2"/>
  <c r="AA12" i="2"/>
  <c r="Z12" i="2"/>
  <c r="AA20" i="2"/>
  <c r="Z20" i="2"/>
  <c r="AA28" i="2"/>
  <c r="Z28" i="2"/>
  <c r="G68" i="1"/>
</calcChain>
</file>

<file path=xl/sharedStrings.xml><?xml version="1.0" encoding="utf-8"?>
<sst xmlns="http://schemas.openxmlformats.org/spreadsheetml/2006/main" count="1045" uniqueCount="245">
  <si>
    <t>REDE MEGA 12 • PLANILHA MODELO DE IMPORTAÇÃO DE PEDIDOS</t>
  </si>
  <si>
    <t>MODELO OFICIAL V2.0</t>
  </si>
  <si>
    <t>ALS 10 BAZAR E BRINQUEDOS LTDA  •  ESTRUTURA INTELIGENTE ANTI-ERRO</t>
  </si>
  <si>
    <t>Uso: Compras e Fornecedores</t>
  </si>
  <si>
    <t>ℹ️ INSTRUÇÕES: Preencha os Dados do Fornecedor, Condições e Produtos. A coluna TOTAL PEÇAS calcula automaticamente (= QTD/CX × QTD CX).</t>
  </si>
  <si>
    <t>1. DADOS DA EMPRESA COMPRADORA (DESTINATÁRIO - MEGA 12):</t>
  </si>
  <si>
    <t>2. DADOS DO FORNECEDOR &amp; VENDEDOR (PREENCHA SEUS DADOS):</t>
  </si>
  <si>
    <t>Razão Social:</t>
  </si>
  <si>
    <t>ALS 10 BAZAR E BRINQUEDOS LTDA</t>
  </si>
  <si>
    <t/>
  </si>
  <si>
    <t>CNPJ / IE:</t>
  </si>
  <si>
    <t>37.144.240/0001-70    IE: 90847822-35</t>
  </si>
  <si>
    <t>CNPJ:</t>
  </si>
  <si>
    <t>End. Entrega:</t>
  </si>
  <si>
    <t>Av. José Galiciolli, 152 – BR153 – Centro – Irati – PR (CEP: 84500-009)</t>
  </si>
  <si>
    <t>Vendedor:</t>
  </si>
  <si>
    <t>Boletos / XML:</t>
  </si>
  <si>
    <t>als.conecta@gmail.com</t>
  </si>
  <si>
    <t>WhatsApp / Fone:</t>
  </si>
  <si>
    <t>Compras:</t>
  </si>
  <si>
    <t>Rafael (55) 9 9659-6315  |  Bruna (55) 9 3618-5609</t>
  </si>
  <si>
    <t>E-mail Vendas:</t>
  </si>
  <si>
    <t>3. CONDIÇÕES COMERCIAIS, PRAZOS &amp; FRETE:</t>
  </si>
  <si>
    <t>Nº Pedido:</t>
  </si>
  <si>
    <t>Data Pedido:</t>
  </si>
  <si>
    <t>14/09/2026</t>
  </si>
  <si>
    <t>Entrega:</t>
  </si>
  <si>
    <t>30/09/2026</t>
  </si>
  <si>
    <t>Tipo Frete:</t>
  </si>
  <si>
    <t>CIF</t>
  </si>
  <si>
    <t>Cond. Pag.:</t>
  </si>
  <si>
    <t>30/60/90 Dias</t>
  </si>
  <si>
    <t>% OFF:</t>
  </si>
  <si>
    <t>0%</t>
  </si>
  <si>
    <t>Observações:</t>
  </si>
  <si>
    <t>Agendar descarregamento no CD Irati - Paletizado padrão PBR.</t>
  </si>
  <si>
    <t>#</t>
  </si>
  <si>
    <t>CÓDIGO FORNECEDOR</t>
  </si>
  <si>
    <t>DESCRIÇÃO DO PRODUTO</t>
  </si>
  <si>
    <t>UNID.</t>
  </si>
  <si>
    <t>QTD/CX</t>
  </si>
  <si>
    <t>QTD CX</t>
  </si>
  <si>
    <t>TOTAL PEÇAS</t>
  </si>
  <si>
    <t>PREÇO UNIT. (R$)</t>
  </si>
  <si>
    <t>TOTAIS CONSOLIDADOS DO PEDIDO:</t>
  </si>
  <si>
    <t>REGRAS MANDATÓRIAS DE RECEBIMENTO &amp; FATURAMENTO (REDE MEGA 12 - CD IRATI):</t>
  </si>
  <si>
    <t>1. Boletos NÃO devem exceder o valor de R$ 9.999,00 por título.</t>
  </si>
  <si>
    <t>2. Boletos e arquivo XML da Nota Fiscal devem ser enviados obrigatoriamente para: als.conecta@gmail.com.</t>
  </si>
  <si>
    <t>3. Descarregamento no local de entrega sob responsabilidade integral do fornecedor / transportadora.</t>
  </si>
  <si>
    <t>4. Agendar previamente a data de descarregamento no WhatsApp da Logística: (42) 9 9136-5009 (Roberta).</t>
  </si>
  <si>
    <t>5. As quantidades recebidas serão conferidas por bipagem e inspeção de avarias; divergências serão debitadas do pagamento.</t>
  </si>
  <si>
    <t>REDE MEGA 12 • GRADE DE SEPARAÇÃO E DISTRIBUIÇÃO DAS 20 LOJAS</t>
  </si>
  <si>
    <t>Distribuição por filial em Unidades (UN). As quantidades alocadas devem bater exatamente com o total comprado do item.</t>
  </si>
  <si>
    <t>DADOS DO ITEM COMPRADO</t>
  </si>
  <si>
    <t>CD</t>
  </si>
  <si>
    <t>CLUSTER A (8 LOJAS PRINCIPAIS - MAIOR VOLUME)</t>
  </si>
  <si>
    <t>CLUSTER B (8 LOJAS MÉDIAS)</t>
  </si>
  <si>
    <t>CLUSTER C (4 LOJAS COMPACTAS)</t>
  </si>
  <si>
    <t>AUDITORIA DA GRADE</t>
  </si>
  <si>
    <t>CÓDIGO FORNEC.</t>
  </si>
  <si>
    <t>TOTAL PEDIDO</t>
  </si>
  <si>
    <t>RESERVA CD</t>
  </si>
  <si>
    <t>PONTA GROSSA CENTRO</t>
  </si>
  <si>
    <t>RESERVA</t>
  </si>
  <si>
    <t>TIBAGI</t>
  </si>
  <si>
    <t>NOVA RÚSSIA</t>
  </si>
  <si>
    <t>JAVERT</t>
  </si>
  <si>
    <t>IVAÍ</t>
  </si>
  <si>
    <t>IRATI CENTRO</t>
  </si>
  <si>
    <t>CAMPO LARGO</t>
  </si>
  <si>
    <t>CASTRO</t>
  </si>
  <si>
    <t>IMBITUVA</t>
  </si>
  <si>
    <t>SANTA PAULA</t>
  </si>
  <si>
    <t>PRUDENTÓPOLIS</t>
  </si>
  <si>
    <t>GUARAPUAVA</t>
  </si>
  <si>
    <t>IMBAÚ</t>
  </si>
  <si>
    <t>RIO AZUL</t>
  </si>
  <si>
    <t>REBOUÇAS</t>
  </si>
  <si>
    <t>DEPÓSITO CENTRAL</t>
  </si>
  <si>
    <t>TEIXEIRA SOARES</t>
  </si>
  <si>
    <t>MALLET</t>
  </si>
  <si>
    <t>IPIRANGA</t>
  </si>
  <si>
    <t>TOTAL ALOCADO</t>
  </si>
  <si>
    <t>CONFERÊNCIA</t>
  </si>
  <si>
    <t>TOTAL GERAL DA SEPARAÇÃO POR FILIAL:</t>
  </si>
  <si>
    <t>GUIA OFICIAL DE PREENCHIMENTO DA PLANILHA (REDE MEGA 12)</t>
  </si>
  <si>
    <t>Siga as orientações abaixo para garantir 100% de sucesso na importação e geração da proposta comercial.</t>
  </si>
  <si>
    <t>CAMPO / COLUNA</t>
  </si>
  <si>
    <t>OBRIGATÓRIO?</t>
  </si>
  <si>
    <t>TIPO / FORMATO</t>
  </si>
  <si>
    <t>COMO PREENCHER &amp; ORIENTAÇÕES</t>
  </si>
  <si>
    <t>Fornecedor / Razão Social</t>
  </si>
  <si>
    <t>SIM</t>
  </si>
  <si>
    <t>Texto</t>
  </si>
  <si>
    <t>Nome oficial ou razão social da empresa fornecedora. O sistema vincula automaticamente com o cadastro interno.</t>
  </si>
  <si>
    <t>CNPJ do Fornecedor</t>
  </si>
  <si>
    <t>RECOMENDADO</t>
  </si>
  <si>
    <t>00.000.000/0001-00</t>
  </si>
  <si>
    <t>Identificador fiscal único para garantir o vínculo sem duplicidades.</t>
  </si>
  <si>
    <t>Vendedor &amp; Contatos</t>
  </si>
  <si>
    <t>Texto / Telefone</t>
  </si>
  <si>
    <t>Nome do representante e telefone/WhatsApp para constar no espelho oficial do pedido.</t>
  </si>
  <si>
    <t>Tipo de Frete</t>
  </si>
  <si>
    <t>CIF / FOB / Retira</t>
  </si>
  <si>
    <t>CIF: Por conta do fornecedor. FOB: Frete a cobrar/pago pela Mega 12. Retira: Retirada no local.</t>
  </si>
  <si>
    <t>Condição de Pagamento</t>
  </si>
  <si>
    <t>Texto / Prazos</t>
  </si>
  <si>
    <t>Exemplos: 30/60/90 Dias, Boleto 30 Dias, À Vista. O sistema gera automaticamente o fluxo de duplicatas financeiras.</t>
  </si>
  <si>
    <t>% OFF / Desconto Comercial</t>
  </si>
  <si>
    <t>OPCIONAL</t>
  </si>
  <si>
    <t>Percentual (%)</t>
  </si>
  <si>
    <t>Percentual de desconto comercial negociado sobre o pedido (ex: 0%, 5%, 10%). O sistema registra no cabeçalho e preserva os preços unitários líquidos da grade.</t>
  </si>
  <si>
    <t>Texto ou Número</t>
  </si>
  <si>
    <t>Referência do item de acordo com a tabela do fornecedor (ex: 652, REF-1020).</t>
  </si>
  <si>
    <t>Texto Completo</t>
  </si>
  <si>
    <t>Nome claro do produto, material, dimensões ou modelo.</t>
  </si>
  <si>
    <t>UN / CX / PCT / PAR / JG</t>
  </si>
  <si>
    <t>Unidade de medida. Usado no cálculo de conversão e apontamento de avarias de doca.</t>
  </si>
  <si>
    <t>QTD/CX (Embalagem)</t>
  </si>
  <si>
    <t>Número Inteiro</t>
  </si>
  <si>
    <t>Quantas unidades vêm dentro de cada caixa master ou pacote fechado. (Padrão: 1).</t>
  </si>
  <si>
    <t>QTD CX (Caixas Solicitadas)</t>
  </si>
  <si>
    <t>Quantidade de caixas ou fardos comprados.</t>
  </si>
  <si>
    <t>AUTOMÁTICO</t>
  </si>
  <si>
    <t>Fórmula</t>
  </si>
  <si>
    <t>Calculado automaticamente (= QTD/CX × QTD CX).</t>
  </si>
  <si>
    <t>Moeda (R$)</t>
  </si>
  <si>
    <t>Preço unitário líquido de compra da peça já com descontos comerciais aplicados.</t>
  </si>
  <si>
    <t>Aba SEPARAÇÃO POR LOJA</t>
  </si>
  <si>
    <t>Grade por Filial</t>
  </si>
  <si>
    <t>Se preenchida, o sistema importa as quantidades exatas por filial. Se deixada em branco, o sistema calcula a divisão automática ideal pelos clusters A/B/C.</t>
  </si>
  <si>
    <t>PARÂMETROS FISCAIS DE REFERÊNCIA (REDE MEGA 12 - PARANÁ)</t>
  </si>
  <si>
    <t>PARÂMETRO TRIBUTÁRIO</t>
  </si>
  <si>
    <t>ALÍQUOTA</t>
  </si>
  <si>
    <t>DESCRIÇÃO E APLICAÇÃO</t>
  </si>
  <si>
    <t>ICMS Entrada (Crédito)</t>
  </si>
  <si>
    <t>12.0%</t>
  </si>
  <si>
    <t>Crédito tributário abatido do custo do produto na entrada estadual</t>
  </si>
  <si>
    <t>Custos Fixos Operacionais</t>
  </si>
  <si>
    <t>26.0%</t>
  </si>
  <si>
    <t>Percentual operacional incidente sobre o PDV nas lojas físicas</t>
  </si>
  <si>
    <t>ICMS Saída (Alíquota PR)</t>
  </si>
  <si>
    <t>19.5%</t>
  </si>
  <si>
    <t>Alíquota de ICMS sobre a venda final no Estado do Paraná</t>
  </si>
  <si>
    <t>PIS / COFINS / IR</t>
  </si>
  <si>
    <t>6.0%</t>
  </si>
  <si>
    <t>Impostos federais incidentes sobre o faturamento de saída</t>
  </si>
  <si>
    <t>IPI Padrão</t>
  </si>
  <si>
    <t>0.0%</t>
  </si>
  <si>
    <t>Imposto sobre Produtos Industrializados (quando aplicável por NCM)</t>
  </si>
  <si>
    <t>ST (Substituição Tributária)</t>
  </si>
  <si>
    <t>ICMS-ST destacado por fornecedor (quando aplicável)</t>
  </si>
  <si>
    <t>318</t>
  </si>
  <si>
    <t>402</t>
  </si>
  <si>
    <t>411</t>
  </si>
  <si>
    <t>283</t>
  </si>
  <si>
    <t>410</t>
  </si>
  <si>
    <t>303</t>
  </si>
  <si>
    <t>181</t>
  </si>
  <si>
    <t>347</t>
  </si>
  <si>
    <t>91</t>
  </si>
  <si>
    <t>342</t>
  </si>
  <si>
    <t>341</t>
  </si>
  <si>
    <t>49</t>
  </si>
  <si>
    <t>54</t>
  </si>
  <si>
    <t>348</t>
  </si>
  <si>
    <t>349</t>
  </si>
  <si>
    <t>237</t>
  </si>
  <si>
    <t>312</t>
  </si>
  <si>
    <t>309</t>
  </si>
  <si>
    <t>317</t>
  </si>
  <si>
    <t>203</t>
  </si>
  <si>
    <t>328</t>
  </si>
  <si>
    <t>333</t>
  </si>
  <si>
    <t>282</t>
  </si>
  <si>
    <t>224</t>
  </si>
  <si>
    <t>115</t>
  </si>
  <si>
    <t>72</t>
  </si>
  <si>
    <t>48</t>
  </si>
  <si>
    <t>167</t>
  </si>
  <si>
    <t>384</t>
  </si>
  <si>
    <t>383</t>
  </si>
  <si>
    <t>336</t>
  </si>
  <si>
    <t>366</t>
  </si>
  <si>
    <t>335</t>
  </si>
  <si>
    <t>365</t>
  </si>
  <si>
    <t>378</t>
  </si>
  <si>
    <t>230</t>
  </si>
  <si>
    <t>486</t>
  </si>
  <si>
    <t>485</t>
  </si>
  <si>
    <t>196</t>
  </si>
  <si>
    <t>186</t>
  </si>
  <si>
    <t>528</t>
  </si>
  <si>
    <t>529</t>
  </si>
  <si>
    <t>508</t>
  </si>
  <si>
    <t>509</t>
  </si>
  <si>
    <t>510</t>
  </si>
  <si>
    <t>453</t>
  </si>
  <si>
    <t>CAIXA ORGANIZADORA 9L TRANSPARENTE</t>
  </si>
  <si>
    <t>CAIXA ORGANIZADORA 9L COLOR PRIME</t>
  </si>
  <si>
    <t xml:space="preserve">CAIXA ORGANIZADORA 9L PRETA </t>
  </si>
  <si>
    <t xml:space="preserve">CAIXA ORGANIZADORA 15L PRETA </t>
  </si>
  <si>
    <t>CAIXA ORGANIZADORA 15L TRANSPARENTE</t>
  </si>
  <si>
    <t>CAIXA ORGANIZADORA 15L COLOR PRIME</t>
  </si>
  <si>
    <t>ESCORREDOR DE LOUÇA PRETO</t>
  </si>
  <si>
    <t>ESCORREDOR DE LOUÇA PRIME COLOR</t>
  </si>
  <si>
    <t>KIT VASO GREGO RED. PTO 3PÇS PMG</t>
  </si>
  <si>
    <t>KIT VASO QUAD. PTO 3PÇS PMG</t>
  </si>
  <si>
    <t>VASO GREGO PTO REDONDO 9L</t>
  </si>
  <si>
    <t>VASO GREGO COLOR REDONDO 9L</t>
  </si>
  <si>
    <t>VASO PRETO QUAD. 16L</t>
  </si>
  <si>
    <t>VASO COLOR QUAD. 16L</t>
  </si>
  <si>
    <t>KIT 3 VASOS DE PAREDE GREGO COLOR PMG</t>
  </si>
  <si>
    <t>KIT 3 VASOS DE PAREDE GREGO PRETO PMG</t>
  </si>
  <si>
    <t>LIXEIRA PEDAL 13L PRETA</t>
  </si>
  <si>
    <t xml:space="preserve">LIXEIRA BASCULANTE 9L PRETA </t>
  </si>
  <si>
    <t>LIXEIRA BASCULANTE 9L COLOR PRIME</t>
  </si>
  <si>
    <t>LIXEIRA 13L STANDER</t>
  </si>
  <si>
    <t>BANDEJA PRATICA MULTIUSO 9L C/ TAMPA</t>
  </si>
  <si>
    <t>KIT SOBREMESA 7PÇS</t>
  </si>
  <si>
    <t>BORIFADOR 500ML</t>
  </si>
  <si>
    <t>MARMITA</t>
  </si>
  <si>
    <t>CESTINHO MULTIUSO</t>
  </si>
  <si>
    <t>ORGANIZADOR DE FRIOS 3PÇS</t>
  </si>
  <si>
    <t>PORTA TALHER C/ TAMPA</t>
  </si>
  <si>
    <t>BACIA COLOR 13L</t>
  </si>
  <si>
    <t>BACIA COLOR 33L</t>
  </si>
  <si>
    <t>VASO ROMA QUADRADO PRETO G 21L</t>
  </si>
  <si>
    <t>VASO ROMA QUADRADO COLOR  G 21L</t>
  </si>
  <si>
    <t>VASO ROMA QUADRADO PRETO G 16,5L</t>
  </si>
  <si>
    <t>VASO ROMA QUADRADO PRETO G 10L</t>
  </si>
  <si>
    <t>VASO ROMA QUADRADO COLOR  G 16,5L</t>
  </si>
  <si>
    <t>VASO ROMA QUADRADO COLOR G 10L</t>
  </si>
  <si>
    <t>BALDE REFORÇADO DE PEDREIRO 12L</t>
  </si>
  <si>
    <t>CESTOMULTIUSO C/ TRAVA 60L</t>
  </si>
  <si>
    <t>KIT 10 POTES 300ML</t>
  </si>
  <si>
    <t>KIT 6 POTES 700ML</t>
  </si>
  <si>
    <t>KIT 4 POTES 1400ML</t>
  </si>
  <si>
    <t>KIT 2 SALADEIRAS 5L</t>
  </si>
  <si>
    <t>KIT 3 POTES RETANGULAR PRIME 3,3L</t>
  </si>
  <si>
    <t>KIT 2 POTES RETANGULAR PRIME 5,5L</t>
  </si>
  <si>
    <t>KIT 3 ORGANIZADOR MULTIUSO PRIME1,2,3L</t>
  </si>
  <si>
    <t>KIT 3 ORGANIZADOR MULTIUSO COLOR 1,2,3L</t>
  </si>
  <si>
    <t>KIT 3 ORGANIZADOR MULTIUSO TRANSP.1,2,3L</t>
  </si>
  <si>
    <t>CESTO TELADO RET. RATAN 45L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</si>
</sst>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Segoe UI"/>
    </font>
    <font>
      <b/>
      <sz val="9.5"/>
      <color rgb="FFFFFFFF"/>
      <name val="Segoe UI"/>
    </font>
    <font>
      <b/>
      <sz val="8.5"/>
      <color rgb="FF6EE7B7"/>
      <name val="Segoe UI"/>
    </font>
    <font>
      <sz val="8"/>
      <color rgb="FFE2E8F0"/>
      <name val="Segoe UI"/>
    </font>
    <font>
      <b/>
      <sz val="8.5"/>
      <color rgb="FF92400E"/>
      <name val="Segoe UI"/>
    </font>
    <font>
      <b/>
      <sz val="8"/>
      <color rgb="FFFFFFFF"/>
      <name val="Segoe UI"/>
    </font>
    <font>
      <b/>
      <sz val="8"/>
      <color rgb="FF475569"/>
      <name val="Segoe UI"/>
    </font>
    <font>
      <b/>
      <sz val="8"/>
      <color rgb="FF1E293B"/>
      <name val="Segoe UI"/>
    </font>
    <font>
      <b/>
      <sz val="8"/>
      <color rgb="FF0F172A"/>
      <name val="Segoe UI"/>
    </font>
    <font>
      <sz val="8"/>
      <color rgb="FF1E293B"/>
      <name val="Segoe UI"/>
    </font>
    <font>
      <b/>
      <sz val="8"/>
      <color rgb="FF059669"/>
      <name val="Segoe UI"/>
    </font>
    <font>
      <i/>
      <sz val="8"/>
      <color rgb="FF1E293B"/>
      <name val="Segoe UI"/>
    </font>
    <font>
      <b/>
      <sz val="8.5"/>
      <color rgb="FFFFFFFF"/>
      <name val="Segoe UI"/>
    </font>
    <font>
      <sz val="8.5"/>
      <color rgb="FF475569"/>
      <name val="Segoe UI"/>
    </font>
    <font>
      <b/>
      <sz val="8.5"/>
      <color rgb="FF0F172A"/>
      <name val="Segoe UI"/>
    </font>
    <font>
      <b/>
      <sz val="8.5"/>
      <color rgb="FF1E293B"/>
      <name val="Segoe UI"/>
    </font>
    <font>
      <sz val="8.5"/>
      <color rgb="FF1E293B"/>
      <name val="Segoe UI"/>
    </font>
    <font>
      <b/>
      <sz val="8.5"/>
      <color rgb="FF059669"/>
      <name val="Segoe UI"/>
    </font>
    <font>
      <b/>
      <sz val="9"/>
      <color rgb="FF064E3B"/>
      <name val="Segoe UI"/>
    </font>
    <font>
      <b/>
      <sz val="8.5"/>
      <color rgb="FF991B1B"/>
      <name val="Segoe UI"/>
    </font>
    <font>
      <sz val="8.5"/>
      <color rgb="FFD1FAE5"/>
      <name val="Segoe UI"/>
    </font>
    <font>
      <b/>
      <sz val="8.5"/>
      <name val="Segoe UI"/>
    </font>
    <font>
      <b/>
      <sz val="8"/>
      <color rgb="FF0284C7"/>
      <name val="Segoe UI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59669"/>
      </patternFill>
    </fill>
    <fill>
      <patternFill patternType="solid">
        <fgColor rgb="FF1E293B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ECFDF5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EF2F2"/>
      </patternFill>
    </fill>
    <fill>
      <patternFill patternType="solid">
        <fgColor rgb="FF334155"/>
      </patternFill>
    </fill>
    <fill>
      <patternFill patternType="solid">
        <fgColor rgb="FF0D9488"/>
      </patternFill>
    </fill>
    <fill>
      <patternFill patternType="solid">
        <fgColor rgb="FF0284C7"/>
      </patternFill>
    </fill>
  </fills>
  <borders count="12">
    <border>
      <left/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A7F3D0"/>
      </left>
      <right style="thin">
        <color rgb="FFA7F3D0"/>
      </right>
      <top style="medium">
        <color rgb="FF059669"/>
      </top>
      <bottom style="medium">
        <color rgb="FF059669"/>
      </bottom>
      <diagonal/>
    </border>
    <border>
      <left style="thin">
        <color rgb="FFEF4444"/>
      </left>
      <right style="thin">
        <color rgb="FFEF4444"/>
      </right>
      <top style="thin">
        <color rgb="FFEF4444"/>
      </top>
      <bottom style="thin">
        <color rgb="FFEF4444"/>
      </bottom>
      <diagonal/>
    </border>
    <border>
      <left style="thin">
        <color rgb="FFEF4444"/>
      </left>
      <right style="thin">
        <color rgb="FFEF4444"/>
      </right>
      <top/>
      <bottom/>
      <diagonal/>
    </border>
    <border>
      <left style="thin">
        <color rgb="FFEF4444"/>
      </left>
      <right style="thin">
        <color rgb="FFEF4444"/>
      </right>
      <top/>
      <bottom style="thin">
        <color rgb="FFEF4444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8" fillId="6" borderId="2" xfId="0" applyFont="1" applyFill="1" applyBorder="1" applyAlignment="1">
      <alignment horizontal="left" vertical="center" indent="1"/>
    </xf>
    <xf numFmtId="0" fontId="8" fillId="7" borderId="2" xfId="0" applyFont="1" applyFill="1" applyBorder="1" applyAlignment="1">
      <alignment horizontal="left" vertical="center" indent="1"/>
    </xf>
    <xf numFmtId="0" fontId="8" fillId="6" borderId="2" xfId="0" applyFont="1" applyFill="1" applyBorder="1"/>
    <xf numFmtId="0" fontId="1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right" vertical="center"/>
    </xf>
    <xf numFmtId="0" fontId="15" fillId="8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left" vertical="center" indent="1"/>
    </xf>
    <xf numFmtId="0" fontId="18" fillId="8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164" fontId="16" fillId="8" borderId="2" xfId="0" applyNumberFormat="1" applyFont="1" applyFill="1" applyBorder="1" applyAlignment="1">
      <alignment horizontal="right" vertical="center"/>
    </xf>
    <xf numFmtId="0" fontId="15" fillId="6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left" vertical="center" indent="1"/>
    </xf>
    <xf numFmtId="0" fontId="18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164" fontId="16" fillId="6" borderId="2" xfId="0" applyNumberFormat="1" applyFont="1" applyFill="1" applyBorder="1" applyAlignment="1">
      <alignment horizontal="right" vertical="center"/>
    </xf>
    <xf numFmtId="3" fontId="20" fillId="9" borderId="4" xfId="0" applyNumberFormat="1" applyFont="1" applyFill="1" applyBorder="1" applyAlignment="1">
      <alignment horizontal="center" vertical="center"/>
    </xf>
    <xf numFmtId="0" fontId="0" fillId="9" borderId="4" xfId="0" applyFill="1" applyBorder="1"/>
    <xf numFmtId="0" fontId="7" fillId="11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left" vertical="center" indent="1"/>
    </xf>
    <xf numFmtId="0" fontId="0" fillId="8" borderId="2" xfId="0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left" vertical="center" indent="1"/>
    </xf>
    <xf numFmtId="0" fontId="0" fillId="6" borderId="2" xfId="0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/>
    </xf>
    <xf numFmtId="0" fontId="23" fillId="9" borderId="4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7" fillId="8" borderId="2" xfId="0" applyFont="1" applyFill="1" applyBorder="1"/>
    <xf numFmtId="0" fontId="12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 indent="1"/>
    </xf>
    <xf numFmtId="0" fontId="17" fillId="6" borderId="2" xfId="0" applyFont="1" applyFill="1" applyBorder="1"/>
    <xf numFmtId="0" fontId="8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 indent="1"/>
    </xf>
    <xf numFmtId="0" fontId="8" fillId="8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indent="1"/>
    </xf>
    <xf numFmtId="0" fontId="9" fillId="6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 indent="1"/>
    </xf>
    <xf numFmtId="0" fontId="11" fillId="6" borderId="2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 indent="1"/>
    </xf>
    <xf numFmtId="0" fontId="13" fillId="0" borderId="2" xfId="0" applyFont="1" applyBorder="1" applyAlignment="1">
      <alignment horizontal="left" vertical="center" indent="1"/>
    </xf>
    <xf numFmtId="0" fontId="20" fillId="9" borderId="4" xfId="0" applyFont="1" applyFill="1" applyBorder="1" applyAlignment="1">
      <alignment horizontal="left" vertical="center" indent="1"/>
    </xf>
    <xf numFmtId="0" fontId="21" fillId="10" borderId="5" xfId="0" applyFont="1" applyFill="1" applyBorder="1" applyAlignment="1">
      <alignment horizontal="left" vertical="center" indent="1"/>
    </xf>
    <xf numFmtId="0" fontId="11" fillId="10" borderId="6" xfId="0" applyFont="1" applyFill="1" applyBorder="1" applyAlignment="1">
      <alignment horizontal="left" vertical="center" indent="1"/>
    </xf>
    <xf numFmtId="0" fontId="11" fillId="10" borderId="7" xfId="0" applyFont="1" applyFill="1" applyBorder="1" applyAlignment="1">
      <alignment horizontal="left" vertical="center" indent="1"/>
    </xf>
    <xf numFmtId="0" fontId="22" fillId="4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16" fillId="9" borderId="4" xfId="0" applyFont="1" applyFill="1" applyBorder="1" applyAlignment="1">
      <alignment horizontal="left" vertical="center" indent="1"/>
    </xf>
    <xf numFmtId="0" fontId="16" fillId="8" borderId="9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shrinkToFit="1"/>
    </xf>
    <xf numFmtId="3" fontId="0" fillId="0" borderId="0" xfId="0" applyNumberFormat="1" applyBorder="1" applyAlignment="1" applyProtection="1">
      <alignment horizontal="center"/>
      <protection locked="0"/>
    </xf>
    <xf numFmtId="0" fontId="15" fillId="8" borderId="8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left" vertical="center" indent="1"/>
    </xf>
    <xf numFmtId="0" fontId="16" fillId="8" borderId="11" xfId="0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left" vertical="center" indent="1"/>
    </xf>
    <xf numFmtId="0" fontId="26" fillId="0" borderId="0" xfId="0" applyFont="1" applyBorder="1" applyAlignment="1">
      <alignment horizontal="center" shrinkToFit="1"/>
    </xf>
    <xf numFmtId="0" fontId="1" fillId="0" borderId="0" xfId="0" applyFont="1" applyBorder="1" applyAlignment="1" applyProtection="1">
      <alignment horizontal="center" shrinkToFit="1"/>
      <protection locked="0"/>
    </xf>
    <xf numFmtId="0" fontId="18" fillId="8" borderId="0" xfId="0" applyFont="1" applyFill="1" applyBorder="1" applyAlignment="1">
      <alignment horizontal="center" vertical="center"/>
    </xf>
    <xf numFmtId="49" fontId="25" fillId="0" borderId="0" xfId="0" applyNumberFormat="1" applyFont="1" applyBorder="1" applyAlignment="1" applyProtection="1">
      <alignment horizontal="center"/>
      <protection locked="0"/>
    </xf>
    <xf numFmtId="0" fontId="18" fillId="6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2" workbookViewId="0">
      <selection activeCell="C17" sqref="C17:C63"/>
    </sheetView>
  </sheetViews>
  <sheetFormatPr baseColWidth="10" defaultColWidth="8.83203125" defaultRowHeight="15" x14ac:dyDescent="0.2"/>
  <cols>
    <col min="1" max="1" width="6" customWidth="1"/>
    <col min="2" max="2" width="20" customWidth="1"/>
    <col min="3" max="3" width="46" customWidth="1"/>
    <col min="4" max="4" width="10" customWidth="1"/>
    <col min="5" max="6" width="12" customWidth="1"/>
    <col min="7" max="7" width="15" customWidth="1"/>
    <col min="8" max="8" width="18" customWidth="1"/>
  </cols>
  <sheetData>
    <row r="1" spans="1:8" ht="24" customHeight="1" x14ac:dyDescent="0.2">
      <c r="A1" s="44" t="s">
        <v>0</v>
      </c>
      <c r="B1" s="44"/>
      <c r="C1" s="44"/>
      <c r="D1" s="44"/>
      <c r="E1" s="44"/>
      <c r="F1" s="44"/>
      <c r="G1" s="45" t="s">
        <v>1</v>
      </c>
      <c r="H1" s="45"/>
    </row>
    <row r="2" spans="1:8" ht="18" customHeight="1" x14ac:dyDescent="0.2">
      <c r="A2" s="46" t="s">
        <v>2</v>
      </c>
      <c r="B2" s="46"/>
      <c r="C2" s="46"/>
      <c r="D2" s="46"/>
      <c r="E2" s="46"/>
      <c r="F2" s="46"/>
      <c r="G2" s="47" t="s">
        <v>3</v>
      </c>
      <c r="H2" s="47"/>
    </row>
    <row r="3" spans="1:8" ht="20" customHeight="1" x14ac:dyDescent="0.2">
      <c r="A3" s="48" t="s">
        <v>4</v>
      </c>
      <c r="B3" s="48"/>
      <c r="C3" s="48"/>
      <c r="D3" s="48"/>
      <c r="E3" s="48"/>
      <c r="F3" s="48"/>
      <c r="G3" s="48"/>
      <c r="H3" s="48"/>
    </row>
    <row r="4" spans="1:8" ht="6" customHeight="1" x14ac:dyDescent="0.2"/>
    <row r="5" spans="1:8" ht="20" customHeight="1" x14ac:dyDescent="0.2">
      <c r="A5" s="49" t="s">
        <v>5</v>
      </c>
      <c r="B5" s="49"/>
      <c r="C5" s="49"/>
      <c r="D5" s="49"/>
      <c r="E5" s="49" t="s">
        <v>6</v>
      </c>
      <c r="F5" s="49"/>
      <c r="G5" s="49"/>
      <c r="H5" s="49"/>
    </row>
    <row r="6" spans="1:8" ht="19" customHeight="1" x14ac:dyDescent="0.2">
      <c r="A6" s="1" t="s">
        <v>7</v>
      </c>
      <c r="B6" s="50" t="s">
        <v>8</v>
      </c>
      <c r="C6" s="50"/>
      <c r="D6" s="50"/>
      <c r="E6" s="2" t="s">
        <v>7</v>
      </c>
      <c r="F6" s="51" t="s">
        <v>9</v>
      </c>
      <c r="G6" s="51"/>
      <c r="H6" s="51"/>
    </row>
    <row r="7" spans="1:8" ht="19" customHeight="1" x14ac:dyDescent="0.2">
      <c r="A7" s="1" t="s">
        <v>10</v>
      </c>
      <c r="B7" s="52" t="s">
        <v>11</v>
      </c>
      <c r="C7" s="52"/>
      <c r="D7" s="52"/>
      <c r="E7" s="2" t="s">
        <v>12</v>
      </c>
      <c r="F7" s="51" t="s">
        <v>9</v>
      </c>
      <c r="G7" s="51"/>
      <c r="H7" s="51"/>
    </row>
    <row r="8" spans="1:8" ht="19" customHeight="1" x14ac:dyDescent="0.2">
      <c r="A8" s="1" t="s">
        <v>13</v>
      </c>
      <c r="B8" s="50" t="s">
        <v>14</v>
      </c>
      <c r="C8" s="50"/>
      <c r="D8" s="50"/>
      <c r="E8" s="2" t="s">
        <v>15</v>
      </c>
      <c r="F8" s="51" t="s">
        <v>9</v>
      </c>
      <c r="G8" s="51"/>
      <c r="H8" s="51"/>
    </row>
    <row r="9" spans="1:8" ht="19" customHeight="1" x14ac:dyDescent="0.2">
      <c r="A9" s="1" t="s">
        <v>16</v>
      </c>
      <c r="B9" s="50" t="s">
        <v>17</v>
      </c>
      <c r="C9" s="50"/>
      <c r="D9" s="50"/>
      <c r="E9" s="2" t="s">
        <v>18</v>
      </c>
      <c r="F9" s="51" t="s">
        <v>9</v>
      </c>
      <c r="G9" s="51"/>
      <c r="H9" s="51"/>
    </row>
    <row r="10" spans="1:8" ht="19" customHeight="1" x14ac:dyDescent="0.2">
      <c r="A10" s="1" t="s">
        <v>19</v>
      </c>
      <c r="B10" s="52" t="s">
        <v>20</v>
      </c>
      <c r="C10" s="52"/>
      <c r="D10" s="52"/>
      <c r="E10" s="2" t="s">
        <v>21</v>
      </c>
      <c r="F10" s="51" t="s">
        <v>9</v>
      </c>
      <c r="G10" s="51"/>
      <c r="H10" s="51"/>
    </row>
    <row r="11" spans="1:8" ht="6" customHeight="1" x14ac:dyDescent="0.2"/>
    <row r="12" spans="1:8" ht="19" customHeight="1" x14ac:dyDescent="0.2">
      <c r="A12" s="53" t="s">
        <v>22</v>
      </c>
      <c r="B12" s="53"/>
      <c r="C12" s="53"/>
      <c r="D12" s="53"/>
      <c r="E12" s="53"/>
      <c r="F12" s="53"/>
      <c r="G12" s="53"/>
      <c r="H12" s="53"/>
    </row>
    <row r="13" spans="1:8" ht="19" customHeight="1" x14ac:dyDescent="0.2">
      <c r="A13" s="3" t="s">
        <v>23</v>
      </c>
      <c r="B13" s="4" t="s">
        <v>9</v>
      </c>
      <c r="C13" s="3" t="s">
        <v>24</v>
      </c>
      <c r="D13" s="4" t="s">
        <v>25</v>
      </c>
      <c r="E13" s="3" t="s">
        <v>26</v>
      </c>
      <c r="F13" s="4" t="s">
        <v>27</v>
      </c>
      <c r="G13" s="3" t="s">
        <v>28</v>
      </c>
      <c r="H13" s="5" t="s">
        <v>29</v>
      </c>
    </row>
    <row r="14" spans="1:8" ht="19" customHeight="1" x14ac:dyDescent="0.2">
      <c r="A14" s="3" t="s">
        <v>30</v>
      </c>
      <c r="B14" s="4" t="s">
        <v>31</v>
      </c>
      <c r="C14" s="3" t="s">
        <v>32</v>
      </c>
      <c r="D14" s="5" t="s">
        <v>33</v>
      </c>
      <c r="E14" s="3" t="s">
        <v>34</v>
      </c>
      <c r="F14" s="54" t="s">
        <v>35</v>
      </c>
      <c r="G14" s="54"/>
      <c r="H14" s="54"/>
    </row>
    <row r="15" spans="1:8" ht="10" customHeight="1" x14ac:dyDescent="0.2"/>
    <row r="16" spans="1:8" ht="25" customHeight="1" x14ac:dyDescent="0.2">
      <c r="A16" s="6" t="s">
        <v>36</v>
      </c>
      <c r="B16" s="67" t="s">
        <v>37</v>
      </c>
      <c r="C16" s="73" t="s">
        <v>38</v>
      </c>
      <c r="D16" s="67" t="s">
        <v>39</v>
      </c>
      <c r="E16" s="67" t="s">
        <v>40</v>
      </c>
      <c r="F16" s="6" t="s">
        <v>41</v>
      </c>
      <c r="G16" s="6" t="s">
        <v>42</v>
      </c>
      <c r="H16" s="7" t="s">
        <v>43</v>
      </c>
    </row>
    <row r="17" spans="1:8" ht="20" customHeight="1" x14ac:dyDescent="0.25">
      <c r="A17" s="71">
        <v>1</v>
      </c>
      <c r="B17" s="76">
        <v>284</v>
      </c>
      <c r="C17" s="77" t="s">
        <v>198</v>
      </c>
      <c r="D17" s="78" t="s">
        <v>9</v>
      </c>
      <c r="E17" s="69">
        <v>12</v>
      </c>
      <c r="F17" s="65" t="s">
        <v>9</v>
      </c>
      <c r="G17" s="12" t="e">
        <f t="shared" ref="G17:G67" si="0">IF(F17&gt;0,IF(E17&gt;0,E17*F17,F17),"")</f>
        <v>#VALUE!</v>
      </c>
      <c r="H17" s="13" t="s">
        <v>9</v>
      </c>
    </row>
    <row r="18" spans="1:8" ht="20" customHeight="1" x14ac:dyDescent="0.2">
      <c r="A18" s="72">
        <v>2</v>
      </c>
      <c r="B18" s="79" t="s">
        <v>152</v>
      </c>
      <c r="C18" s="77" t="s">
        <v>199</v>
      </c>
      <c r="D18" s="80" t="s">
        <v>9</v>
      </c>
      <c r="E18" s="70">
        <v>12</v>
      </c>
      <c r="F18" s="66" t="s">
        <v>9</v>
      </c>
      <c r="G18" s="18" t="e">
        <f t="shared" si="0"/>
        <v>#VALUE!</v>
      </c>
      <c r="H18" s="19" t="s">
        <v>9</v>
      </c>
    </row>
    <row r="19" spans="1:8" ht="20" customHeight="1" x14ac:dyDescent="0.2">
      <c r="A19" s="71">
        <v>3</v>
      </c>
      <c r="B19" s="79" t="s">
        <v>153</v>
      </c>
      <c r="C19" s="77" t="s">
        <v>200</v>
      </c>
      <c r="D19" s="78" t="s">
        <v>9</v>
      </c>
      <c r="E19" s="70">
        <v>12</v>
      </c>
      <c r="F19" s="65" t="s">
        <v>9</v>
      </c>
      <c r="G19" s="12" t="e">
        <f t="shared" si="0"/>
        <v>#VALUE!</v>
      </c>
      <c r="H19" s="13" t="s">
        <v>9</v>
      </c>
    </row>
    <row r="20" spans="1:8" ht="20" customHeight="1" x14ac:dyDescent="0.2">
      <c r="A20" s="72">
        <v>4</v>
      </c>
      <c r="B20" s="79" t="s">
        <v>154</v>
      </c>
      <c r="C20" s="77" t="s">
        <v>201</v>
      </c>
      <c r="D20" s="80" t="s">
        <v>9</v>
      </c>
      <c r="E20" s="70">
        <v>12</v>
      </c>
      <c r="F20" s="66" t="s">
        <v>9</v>
      </c>
      <c r="G20" s="18" t="e">
        <f t="shared" si="0"/>
        <v>#VALUE!</v>
      </c>
      <c r="H20" s="19" t="s">
        <v>9</v>
      </c>
    </row>
    <row r="21" spans="1:8" ht="20" customHeight="1" x14ac:dyDescent="0.2">
      <c r="A21" s="71">
        <v>5</v>
      </c>
      <c r="B21" s="79" t="s">
        <v>155</v>
      </c>
      <c r="C21" s="77" t="s">
        <v>202</v>
      </c>
      <c r="D21" s="78" t="s">
        <v>9</v>
      </c>
      <c r="E21" s="70">
        <v>12</v>
      </c>
      <c r="F21" s="65" t="s">
        <v>9</v>
      </c>
      <c r="G21" s="12" t="e">
        <f t="shared" si="0"/>
        <v>#VALUE!</v>
      </c>
      <c r="H21" s="13" t="s">
        <v>9</v>
      </c>
    </row>
    <row r="22" spans="1:8" ht="20" customHeight="1" x14ac:dyDescent="0.2">
      <c r="A22" s="72">
        <v>6</v>
      </c>
      <c r="B22" s="79" t="s">
        <v>156</v>
      </c>
      <c r="C22" s="77" t="s">
        <v>203</v>
      </c>
      <c r="D22" s="80" t="s">
        <v>9</v>
      </c>
      <c r="E22" s="70">
        <v>12</v>
      </c>
      <c r="F22" s="66" t="s">
        <v>9</v>
      </c>
      <c r="G22" s="18" t="e">
        <f t="shared" si="0"/>
        <v>#VALUE!</v>
      </c>
      <c r="H22" s="19" t="s">
        <v>9</v>
      </c>
    </row>
    <row r="23" spans="1:8" ht="20" customHeight="1" x14ac:dyDescent="0.2">
      <c r="A23" s="71">
        <v>7</v>
      </c>
      <c r="B23" s="79" t="s">
        <v>157</v>
      </c>
      <c r="C23" s="77" t="s">
        <v>204</v>
      </c>
      <c r="D23" s="78" t="s">
        <v>9</v>
      </c>
      <c r="E23" s="70">
        <v>6</v>
      </c>
      <c r="F23" s="65" t="s">
        <v>9</v>
      </c>
      <c r="G23" s="12" t="e">
        <f t="shared" si="0"/>
        <v>#VALUE!</v>
      </c>
      <c r="H23" s="13" t="s">
        <v>9</v>
      </c>
    </row>
    <row r="24" spans="1:8" ht="20" customHeight="1" x14ac:dyDescent="0.2">
      <c r="A24" s="72">
        <v>8</v>
      </c>
      <c r="B24" s="79" t="s">
        <v>158</v>
      </c>
      <c r="C24" s="77" t="s">
        <v>205</v>
      </c>
      <c r="D24" s="80" t="s">
        <v>9</v>
      </c>
      <c r="E24" s="70">
        <v>6</v>
      </c>
      <c r="F24" s="66" t="s">
        <v>9</v>
      </c>
      <c r="G24" s="18" t="e">
        <f t="shared" si="0"/>
        <v>#VALUE!</v>
      </c>
      <c r="H24" s="19" t="s">
        <v>9</v>
      </c>
    </row>
    <row r="25" spans="1:8" ht="20" customHeight="1" x14ac:dyDescent="0.2">
      <c r="A25" s="71">
        <v>9</v>
      </c>
      <c r="B25" s="79" t="s">
        <v>159</v>
      </c>
      <c r="C25" s="77" t="s">
        <v>206</v>
      </c>
      <c r="D25" s="78" t="s">
        <v>9</v>
      </c>
      <c r="E25" s="70">
        <v>6</v>
      </c>
      <c r="F25" s="65" t="s">
        <v>9</v>
      </c>
      <c r="G25" s="12" t="e">
        <f t="shared" si="0"/>
        <v>#VALUE!</v>
      </c>
      <c r="H25" s="13" t="s">
        <v>9</v>
      </c>
    </row>
    <row r="26" spans="1:8" ht="20" customHeight="1" x14ac:dyDescent="0.2">
      <c r="A26" s="71">
        <v>10</v>
      </c>
      <c r="B26" s="79" t="s">
        <v>160</v>
      </c>
      <c r="C26" s="77" t="s">
        <v>207</v>
      </c>
      <c r="D26" s="78" t="s">
        <v>9</v>
      </c>
      <c r="E26" s="70">
        <v>6</v>
      </c>
      <c r="F26" s="65" t="s">
        <v>9</v>
      </c>
      <c r="G26" s="12" t="e">
        <f t="shared" ref="G26:G46" si="1">IF(F26&gt;0,IF(E26&gt;0,E26*F26,F26),"")</f>
        <v>#VALUE!</v>
      </c>
      <c r="H26" s="13"/>
    </row>
    <row r="27" spans="1:8" ht="20" customHeight="1" x14ac:dyDescent="0.2">
      <c r="A27" s="71">
        <v>11</v>
      </c>
      <c r="B27" s="79" t="s">
        <v>161</v>
      </c>
      <c r="C27" s="77" t="s">
        <v>208</v>
      </c>
      <c r="D27" s="78" t="s">
        <v>9</v>
      </c>
      <c r="E27" s="70">
        <v>12</v>
      </c>
      <c r="F27" s="65" t="s">
        <v>9</v>
      </c>
      <c r="G27" s="12" t="e">
        <f t="shared" si="1"/>
        <v>#VALUE!</v>
      </c>
      <c r="H27" s="13"/>
    </row>
    <row r="28" spans="1:8" ht="20" customHeight="1" x14ac:dyDescent="0.2">
      <c r="A28" s="71">
        <v>12</v>
      </c>
      <c r="B28" s="79" t="s">
        <v>162</v>
      </c>
      <c r="C28" s="77" t="s">
        <v>209</v>
      </c>
      <c r="D28" s="78" t="s">
        <v>9</v>
      </c>
      <c r="E28" s="70">
        <v>12</v>
      </c>
      <c r="F28" s="65" t="s">
        <v>9</v>
      </c>
      <c r="G28" s="12" t="e">
        <f t="shared" si="1"/>
        <v>#VALUE!</v>
      </c>
      <c r="H28" s="13"/>
    </row>
    <row r="29" spans="1:8" ht="20" customHeight="1" x14ac:dyDescent="0.2">
      <c r="A29" s="71">
        <v>13</v>
      </c>
      <c r="B29" s="79" t="s">
        <v>163</v>
      </c>
      <c r="C29" s="77" t="s">
        <v>210</v>
      </c>
      <c r="D29" s="78" t="s">
        <v>9</v>
      </c>
      <c r="E29" s="70">
        <v>12</v>
      </c>
      <c r="F29" s="65" t="s">
        <v>9</v>
      </c>
      <c r="G29" s="12" t="e">
        <f t="shared" si="1"/>
        <v>#VALUE!</v>
      </c>
      <c r="H29" s="13"/>
    </row>
    <row r="30" spans="1:8" ht="20" customHeight="1" x14ac:dyDescent="0.2">
      <c r="A30" s="71">
        <v>14</v>
      </c>
      <c r="B30" s="79" t="s">
        <v>164</v>
      </c>
      <c r="C30" s="77" t="s">
        <v>211</v>
      </c>
      <c r="D30" s="78" t="s">
        <v>9</v>
      </c>
      <c r="E30" s="70">
        <v>12</v>
      </c>
      <c r="F30" s="65" t="s">
        <v>9</v>
      </c>
      <c r="G30" s="12" t="e">
        <f t="shared" si="1"/>
        <v>#VALUE!</v>
      </c>
      <c r="H30" s="13"/>
    </row>
    <row r="31" spans="1:8" ht="20" customHeight="1" x14ac:dyDescent="0.2">
      <c r="A31" s="71">
        <v>15</v>
      </c>
      <c r="B31" s="79" t="s">
        <v>165</v>
      </c>
      <c r="C31" s="77" t="s">
        <v>212</v>
      </c>
      <c r="D31" s="78" t="s">
        <v>9</v>
      </c>
      <c r="E31" s="70">
        <v>12</v>
      </c>
      <c r="F31" s="65" t="s">
        <v>9</v>
      </c>
      <c r="G31" s="12" t="e">
        <f t="shared" si="1"/>
        <v>#VALUE!</v>
      </c>
      <c r="H31" s="13"/>
    </row>
    <row r="32" spans="1:8" ht="20" customHeight="1" x14ac:dyDescent="0.2">
      <c r="A32" s="71">
        <v>16</v>
      </c>
      <c r="B32" s="79" t="s">
        <v>166</v>
      </c>
      <c r="C32" s="77" t="s">
        <v>213</v>
      </c>
      <c r="D32" s="78" t="s">
        <v>9</v>
      </c>
      <c r="E32" s="70">
        <v>12</v>
      </c>
      <c r="F32" s="65" t="s">
        <v>9</v>
      </c>
      <c r="G32" s="12" t="e">
        <f t="shared" si="1"/>
        <v>#VALUE!</v>
      </c>
      <c r="H32" s="13"/>
    </row>
    <row r="33" spans="1:8" ht="20" customHeight="1" x14ac:dyDescent="0.2">
      <c r="A33" s="71">
        <v>17</v>
      </c>
      <c r="B33" s="79" t="s">
        <v>167</v>
      </c>
      <c r="C33" s="77" t="s">
        <v>214</v>
      </c>
      <c r="D33" s="78" t="s">
        <v>9</v>
      </c>
      <c r="E33" s="70">
        <v>10</v>
      </c>
      <c r="F33" s="65" t="s">
        <v>9</v>
      </c>
      <c r="G33" s="12" t="e">
        <f t="shared" si="1"/>
        <v>#VALUE!</v>
      </c>
      <c r="H33" s="13"/>
    </row>
    <row r="34" spans="1:8" ht="20" customHeight="1" x14ac:dyDescent="0.2">
      <c r="A34" s="71">
        <v>18</v>
      </c>
      <c r="B34" s="79" t="s">
        <v>168</v>
      </c>
      <c r="C34" s="77" t="s">
        <v>215</v>
      </c>
      <c r="D34" s="78" t="s">
        <v>9</v>
      </c>
      <c r="E34" s="70">
        <v>10</v>
      </c>
      <c r="F34" s="65" t="s">
        <v>9</v>
      </c>
      <c r="G34" s="12" t="e">
        <f t="shared" si="1"/>
        <v>#VALUE!</v>
      </c>
      <c r="H34" s="13"/>
    </row>
    <row r="35" spans="1:8" ht="20" customHeight="1" x14ac:dyDescent="0.2">
      <c r="A35" s="71">
        <v>19</v>
      </c>
      <c r="B35" s="79" t="s">
        <v>169</v>
      </c>
      <c r="C35" s="77" t="s">
        <v>216</v>
      </c>
      <c r="D35" s="78" t="s">
        <v>9</v>
      </c>
      <c r="E35" s="70">
        <v>10</v>
      </c>
      <c r="F35" s="65" t="s">
        <v>9</v>
      </c>
      <c r="G35" s="12" t="e">
        <f t="shared" si="1"/>
        <v>#VALUE!</v>
      </c>
      <c r="H35" s="13"/>
    </row>
    <row r="36" spans="1:8" ht="20" customHeight="1" x14ac:dyDescent="0.2">
      <c r="A36" s="71">
        <v>20</v>
      </c>
      <c r="B36" s="79" t="s">
        <v>170</v>
      </c>
      <c r="C36" s="77" t="s">
        <v>217</v>
      </c>
      <c r="D36" s="78" t="s">
        <v>9</v>
      </c>
      <c r="E36" s="70">
        <v>10</v>
      </c>
      <c r="F36" s="65" t="s">
        <v>9</v>
      </c>
      <c r="G36" s="12" t="e">
        <f t="shared" si="1"/>
        <v>#VALUE!</v>
      </c>
      <c r="H36" s="13"/>
    </row>
    <row r="37" spans="1:8" ht="20" customHeight="1" x14ac:dyDescent="0.2">
      <c r="A37" s="71">
        <v>21</v>
      </c>
      <c r="B37" s="79" t="s">
        <v>171</v>
      </c>
      <c r="C37" s="77" t="s">
        <v>218</v>
      </c>
      <c r="D37" s="78" t="s">
        <v>9</v>
      </c>
      <c r="E37" s="70">
        <v>12</v>
      </c>
      <c r="F37" s="65" t="s">
        <v>9</v>
      </c>
      <c r="G37" s="12" t="e">
        <f t="shared" si="1"/>
        <v>#VALUE!</v>
      </c>
      <c r="H37" s="13"/>
    </row>
    <row r="38" spans="1:8" ht="20" customHeight="1" x14ac:dyDescent="0.2">
      <c r="A38" s="71">
        <v>22</v>
      </c>
      <c r="B38" s="79" t="s">
        <v>172</v>
      </c>
      <c r="C38" s="77" t="s">
        <v>219</v>
      </c>
      <c r="D38" s="78" t="s">
        <v>9</v>
      </c>
      <c r="E38" s="70">
        <v>12</v>
      </c>
      <c r="F38" s="65" t="s">
        <v>9</v>
      </c>
      <c r="G38" s="12" t="e">
        <f t="shared" si="1"/>
        <v>#VALUE!</v>
      </c>
      <c r="H38" s="13"/>
    </row>
    <row r="39" spans="1:8" ht="20" customHeight="1" x14ac:dyDescent="0.2">
      <c r="A39" s="71">
        <v>23</v>
      </c>
      <c r="B39" s="79" t="s">
        <v>173</v>
      </c>
      <c r="C39" s="77" t="s">
        <v>220</v>
      </c>
      <c r="D39" s="78" t="s">
        <v>9</v>
      </c>
      <c r="E39" s="70">
        <v>30</v>
      </c>
      <c r="F39" s="65" t="s">
        <v>9</v>
      </c>
      <c r="G39" s="12" t="e">
        <f t="shared" si="1"/>
        <v>#VALUE!</v>
      </c>
      <c r="H39" s="13"/>
    </row>
    <row r="40" spans="1:8" ht="20" customHeight="1" x14ac:dyDescent="0.2">
      <c r="A40" s="71">
        <v>24</v>
      </c>
      <c r="B40" s="79" t="s">
        <v>174</v>
      </c>
      <c r="C40" s="77" t="s">
        <v>221</v>
      </c>
      <c r="D40" s="78" t="s">
        <v>9</v>
      </c>
      <c r="E40" s="70">
        <v>36</v>
      </c>
      <c r="F40" s="65" t="s">
        <v>9</v>
      </c>
      <c r="G40" s="12" t="e">
        <f t="shared" si="1"/>
        <v>#VALUE!</v>
      </c>
      <c r="H40" s="13"/>
    </row>
    <row r="41" spans="1:8" ht="20" customHeight="1" x14ac:dyDescent="0.2">
      <c r="A41" s="71">
        <v>25</v>
      </c>
      <c r="B41" s="79" t="s">
        <v>175</v>
      </c>
      <c r="C41" s="77" t="s">
        <v>222</v>
      </c>
      <c r="D41" s="78" t="s">
        <v>9</v>
      </c>
      <c r="E41" s="70">
        <v>24</v>
      </c>
      <c r="F41" s="65" t="s">
        <v>9</v>
      </c>
      <c r="G41" s="12" t="e">
        <f t="shared" si="1"/>
        <v>#VALUE!</v>
      </c>
      <c r="H41" s="13"/>
    </row>
    <row r="42" spans="1:8" ht="20" customHeight="1" x14ac:dyDescent="0.2">
      <c r="A42" s="71">
        <v>26</v>
      </c>
      <c r="B42" s="79" t="s">
        <v>176</v>
      </c>
      <c r="C42" s="77" t="s">
        <v>223</v>
      </c>
      <c r="D42" s="78" t="s">
        <v>9</v>
      </c>
      <c r="E42" s="70">
        <v>12</v>
      </c>
      <c r="F42" s="65" t="s">
        <v>9</v>
      </c>
      <c r="G42" s="12" t="e">
        <f t="shared" si="1"/>
        <v>#VALUE!</v>
      </c>
      <c r="H42" s="13"/>
    </row>
    <row r="43" spans="1:8" ht="20" customHeight="1" x14ac:dyDescent="0.2">
      <c r="A43" s="71">
        <v>27</v>
      </c>
      <c r="B43" s="79" t="s">
        <v>177</v>
      </c>
      <c r="C43" s="77" t="s">
        <v>224</v>
      </c>
      <c r="D43" s="78" t="s">
        <v>9</v>
      </c>
      <c r="E43" s="70">
        <v>24</v>
      </c>
      <c r="F43" s="65" t="s">
        <v>9</v>
      </c>
      <c r="G43" s="12" t="e">
        <f t="shared" si="1"/>
        <v>#VALUE!</v>
      </c>
      <c r="H43" s="13"/>
    </row>
    <row r="44" spans="1:8" ht="20" customHeight="1" x14ac:dyDescent="0.2">
      <c r="A44" s="71">
        <v>28</v>
      </c>
      <c r="B44" s="79" t="s">
        <v>178</v>
      </c>
      <c r="C44" s="77" t="s">
        <v>225</v>
      </c>
      <c r="D44" s="78" t="s">
        <v>9</v>
      </c>
      <c r="E44" s="70">
        <v>12</v>
      </c>
      <c r="F44" s="65" t="s">
        <v>9</v>
      </c>
      <c r="G44" s="12" t="e">
        <f t="shared" si="1"/>
        <v>#VALUE!</v>
      </c>
      <c r="H44" s="13"/>
    </row>
    <row r="45" spans="1:8" ht="20" customHeight="1" x14ac:dyDescent="0.2">
      <c r="A45" s="71">
        <v>29</v>
      </c>
      <c r="B45" s="79" t="s">
        <v>179</v>
      </c>
      <c r="C45" s="77" t="s">
        <v>226</v>
      </c>
      <c r="D45" s="78" t="s">
        <v>9</v>
      </c>
      <c r="E45" s="70">
        <v>12</v>
      </c>
      <c r="F45" s="65" t="s">
        <v>9</v>
      </c>
      <c r="G45" s="12" t="e">
        <f t="shared" si="1"/>
        <v>#VALUE!</v>
      </c>
      <c r="H45" s="13"/>
    </row>
    <row r="46" spans="1:8" ht="20" customHeight="1" x14ac:dyDescent="0.2">
      <c r="A46" s="71">
        <v>30</v>
      </c>
      <c r="B46" s="79" t="s">
        <v>180</v>
      </c>
      <c r="C46" s="77" t="s">
        <v>227</v>
      </c>
      <c r="D46" s="78" t="s">
        <v>9</v>
      </c>
      <c r="E46" s="70">
        <v>12</v>
      </c>
      <c r="F46" s="65" t="s">
        <v>9</v>
      </c>
      <c r="G46" s="12" t="e">
        <f t="shared" si="1"/>
        <v>#VALUE!</v>
      </c>
      <c r="H46" s="13"/>
    </row>
    <row r="47" spans="1:8" ht="20" customHeight="1" x14ac:dyDescent="0.2">
      <c r="A47" s="72">
        <v>10</v>
      </c>
      <c r="B47" s="79" t="s">
        <v>181</v>
      </c>
      <c r="C47" s="77" t="s">
        <v>228</v>
      </c>
      <c r="D47" s="80" t="s">
        <v>9</v>
      </c>
      <c r="E47" s="70">
        <v>12</v>
      </c>
      <c r="F47" s="66" t="s">
        <v>9</v>
      </c>
      <c r="G47" s="18" t="e">
        <f t="shared" si="0"/>
        <v>#VALUE!</v>
      </c>
      <c r="H47" s="19" t="s">
        <v>9</v>
      </c>
    </row>
    <row r="48" spans="1:8" ht="20" customHeight="1" x14ac:dyDescent="0.2">
      <c r="A48" s="71">
        <v>11</v>
      </c>
      <c r="B48" s="79" t="s">
        <v>182</v>
      </c>
      <c r="C48" s="77" t="s">
        <v>229</v>
      </c>
      <c r="D48" s="78" t="s">
        <v>9</v>
      </c>
      <c r="E48" s="70">
        <v>12</v>
      </c>
      <c r="F48" s="65" t="s">
        <v>9</v>
      </c>
      <c r="G48" s="12" t="e">
        <f t="shared" si="0"/>
        <v>#VALUE!</v>
      </c>
      <c r="H48" s="13" t="s">
        <v>9</v>
      </c>
    </row>
    <row r="49" spans="1:8" ht="20" customHeight="1" x14ac:dyDescent="0.2">
      <c r="A49" s="72">
        <v>12</v>
      </c>
      <c r="B49" s="79" t="s">
        <v>183</v>
      </c>
      <c r="C49" s="77" t="s">
        <v>230</v>
      </c>
      <c r="D49" s="80" t="s">
        <v>9</v>
      </c>
      <c r="E49" s="70">
        <v>12</v>
      </c>
      <c r="F49" s="66" t="s">
        <v>9</v>
      </c>
      <c r="G49" s="18" t="e">
        <f t="shared" si="0"/>
        <v>#VALUE!</v>
      </c>
      <c r="H49" s="19" t="s">
        <v>9</v>
      </c>
    </row>
    <row r="50" spans="1:8" ht="20" customHeight="1" x14ac:dyDescent="0.2">
      <c r="A50" s="71">
        <v>13</v>
      </c>
      <c r="B50" s="79" t="s">
        <v>184</v>
      </c>
      <c r="C50" s="77" t="s">
        <v>231</v>
      </c>
      <c r="D50" s="78" t="s">
        <v>9</v>
      </c>
      <c r="E50" s="70">
        <v>12</v>
      </c>
      <c r="F50" s="65" t="s">
        <v>9</v>
      </c>
      <c r="G50" s="12" t="e">
        <f t="shared" si="0"/>
        <v>#VALUE!</v>
      </c>
      <c r="H50" s="13" t="s">
        <v>9</v>
      </c>
    </row>
    <row r="51" spans="1:8" ht="20" customHeight="1" x14ac:dyDescent="0.2">
      <c r="A51" s="72">
        <v>14</v>
      </c>
      <c r="B51" s="79" t="s">
        <v>185</v>
      </c>
      <c r="C51" s="77" t="s">
        <v>232</v>
      </c>
      <c r="D51" s="80" t="s">
        <v>9</v>
      </c>
      <c r="E51" s="70">
        <v>12</v>
      </c>
      <c r="F51" s="66" t="s">
        <v>9</v>
      </c>
      <c r="G51" s="18" t="e">
        <f t="shared" si="0"/>
        <v>#VALUE!</v>
      </c>
      <c r="H51" s="19" t="s">
        <v>9</v>
      </c>
    </row>
    <row r="52" spans="1:8" ht="20" customHeight="1" x14ac:dyDescent="0.2">
      <c r="A52" s="71">
        <v>15</v>
      </c>
      <c r="B52" s="79" t="s">
        <v>186</v>
      </c>
      <c r="C52" s="77" t="s">
        <v>233</v>
      </c>
      <c r="D52" s="78" t="s">
        <v>9</v>
      </c>
      <c r="E52" s="70">
        <v>12</v>
      </c>
      <c r="F52" s="65" t="s">
        <v>9</v>
      </c>
      <c r="G52" s="12" t="e">
        <f t="shared" si="0"/>
        <v>#VALUE!</v>
      </c>
      <c r="H52" s="13" t="s">
        <v>9</v>
      </c>
    </row>
    <row r="53" spans="1:8" ht="20" customHeight="1" x14ac:dyDescent="0.2">
      <c r="A53" s="72">
        <v>16</v>
      </c>
      <c r="B53" s="79" t="s">
        <v>187</v>
      </c>
      <c r="C53" s="77" t="s">
        <v>234</v>
      </c>
      <c r="D53" s="80" t="s">
        <v>9</v>
      </c>
      <c r="E53" s="70">
        <v>6</v>
      </c>
      <c r="F53" s="66" t="s">
        <v>9</v>
      </c>
      <c r="G53" s="18" t="e">
        <f t="shared" si="0"/>
        <v>#VALUE!</v>
      </c>
      <c r="H53" s="19" t="s">
        <v>9</v>
      </c>
    </row>
    <row r="54" spans="1:8" ht="20" customHeight="1" x14ac:dyDescent="0.2">
      <c r="A54" s="71">
        <v>17</v>
      </c>
      <c r="B54" s="79" t="s">
        <v>188</v>
      </c>
      <c r="C54" s="77" t="s">
        <v>235</v>
      </c>
      <c r="D54" s="78" t="s">
        <v>9</v>
      </c>
      <c r="E54" s="70">
        <v>12</v>
      </c>
      <c r="F54" s="65" t="s">
        <v>9</v>
      </c>
      <c r="G54" s="12" t="e">
        <f t="shared" si="0"/>
        <v>#VALUE!</v>
      </c>
      <c r="H54" s="13" t="s">
        <v>9</v>
      </c>
    </row>
    <row r="55" spans="1:8" ht="20" customHeight="1" x14ac:dyDescent="0.2">
      <c r="A55" s="72">
        <v>18</v>
      </c>
      <c r="B55" s="79" t="s">
        <v>189</v>
      </c>
      <c r="C55" s="77" t="s">
        <v>236</v>
      </c>
      <c r="D55" s="80" t="s">
        <v>9</v>
      </c>
      <c r="E55" s="70">
        <v>12</v>
      </c>
      <c r="F55" s="66" t="s">
        <v>9</v>
      </c>
      <c r="G55" s="18" t="e">
        <f t="shared" si="0"/>
        <v>#VALUE!</v>
      </c>
      <c r="H55" s="19" t="s">
        <v>9</v>
      </c>
    </row>
    <row r="56" spans="1:8" ht="20" customHeight="1" x14ac:dyDescent="0.2">
      <c r="A56" s="71">
        <v>19</v>
      </c>
      <c r="B56" s="79" t="s">
        <v>190</v>
      </c>
      <c r="C56" s="77" t="s">
        <v>237</v>
      </c>
      <c r="D56" s="78" t="s">
        <v>9</v>
      </c>
      <c r="E56" s="70">
        <v>12</v>
      </c>
      <c r="F56" s="65" t="s">
        <v>9</v>
      </c>
      <c r="G56" s="12" t="e">
        <f t="shared" si="0"/>
        <v>#VALUE!</v>
      </c>
      <c r="H56" s="13" t="s">
        <v>9</v>
      </c>
    </row>
    <row r="57" spans="1:8" ht="20" customHeight="1" x14ac:dyDescent="0.2">
      <c r="A57" s="72">
        <v>20</v>
      </c>
      <c r="B57" s="79" t="s">
        <v>191</v>
      </c>
      <c r="C57" s="77" t="s">
        <v>238</v>
      </c>
      <c r="D57" s="80" t="s">
        <v>9</v>
      </c>
      <c r="E57" s="70">
        <v>6</v>
      </c>
      <c r="F57" s="66" t="s">
        <v>9</v>
      </c>
      <c r="G57" s="18" t="e">
        <f t="shared" si="0"/>
        <v>#VALUE!</v>
      </c>
      <c r="H57" s="19" t="s">
        <v>9</v>
      </c>
    </row>
    <row r="58" spans="1:8" ht="20" customHeight="1" x14ac:dyDescent="0.2">
      <c r="A58" s="71">
        <v>21</v>
      </c>
      <c r="B58" s="79" t="s">
        <v>192</v>
      </c>
      <c r="C58" s="77" t="s">
        <v>239</v>
      </c>
      <c r="D58" s="78" t="s">
        <v>9</v>
      </c>
      <c r="E58" s="70">
        <v>12</v>
      </c>
      <c r="F58" s="65" t="s">
        <v>9</v>
      </c>
      <c r="G58" s="12" t="e">
        <f t="shared" si="0"/>
        <v>#VALUE!</v>
      </c>
      <c r="H58" s="13" t="s">
        <v>9</v>
      </c>
    </row>
    <row r="59" spans="1:8" ht="20" customHeight="1" x14ac:dyDescent="0.2">
      <c r="A59" s="72">
        <v>22</v>
      </c>
      <c r="B59" s="79" t="s">
        <v>193</v>
      </c>
      <c r="C59" s="77" t="s">
        <v>240</v>
      </c>
      <c r="D59" s="80" t="s">
        <v>9</v>
      </c>
      <c r="E59" s="70">
        <v>12</v>
      </c>
      <c r="F59" s="66" t="s">
        <v>9</v>
      </c>
      <c r="G59" s="18" t="e">
        <f t="shared" si="0"/>
        <v>#VALUE!</v>
      </c>
      <c r="H59" s="19" t="s">
        <v>9</v>
      </c>
    </row>
    <row r="60" spans="1:8" ht="20" customHeight="1" x14ac:dyDescent="0.2">
      <c r="A60" s="71">
        <v>23</v>
      </c>
      <c r="B60" s="79" t="s">
        <v>194</v>
      </c>
      <c r="C60" s="77" t="s">
        <v>241</v>
      </c>
      <c r="D60" s="78" t="s">
        <v>9</v>
      </c>
      <c r="E60" s="70">
        <v>12</v>
      </c>
      <c r="F60" s="65" t="s">
        <v>9</v>
      </c>
      <c r="G60" s="12" t="e">
        <f t="shared" si="0"/>
        <v>#VALUE!</v>
      </c>
      <c r="H60" s="13" t="s">
        <v>9</v>
      </c>
    </row>
    <row r="61" spans="1:8" ht="20" customHeight="1" x14ac:dyDescent="0.2">
      <c r="A61" s="72">
        <v>24</v>
      </c>
      <c r="B61" s="79" t="s">
        <v>195</v>
      </c>
      <c r="C61" s="77" t="s">
        <v>242</v>
      </c>
      <c r="D61" s="80" t="s">
        <v>9</v>
      </c>
      <c r="E61" s="70">
        <v>12</v>
      </c>
      <c r="F61" s="66" t="s">
        <v>9</v>
      </c>
      <c r="G61" s="18" t="e">
        <f t="shared" si="0"/>
        <v>#VALUE!</v>
      </c>
      <c r="H61" s="19" t="s">
        <v>9</v>
      </c>
    </row>
    <row r="62" spans="1:8" ht="20" customHeight="1" x14ac:dyDescent="0.2">
      <c r="A62" s="71">
        <v>25</v>
      </c>
      <c r="B62" s="79" t="s">
        <v>196</v>
      </c>
      <c r="C62" s="77" t="s">
        <v>243</v>
      </c>
      <c r="D62" s="78" t="s">
        <v>9</v>
      </c>
      <c r="E62" s="70">
        <v>12</v>
      </c>
      <c r="F62" s="65" t="s">
        <v>9</v>
      </c>
      <c r="G62" s="12" t="e">
        <f t="shared" si="0"/>
        <v>#VALUE!</v>
      </c>
      <c r="H62" s="13" t="s">
        <v>9</v>
      </c>
    </row>
    <row r="63" spans="1:8" ht="20" customHeight="1" x14ac:dyDescent="0.2">
      <c r="A63" s="72">
        <v>26</v>
      </c>
      <c r="B63" s="79" t="s">
        <v>197</v>
      </c>
      <c r="C63" s="77" t="s">
        <v>244</v>
      </c>
      <c r="D63" s="80" t="s">
        <v>9</v>
      </c>
      <c r="E63" s="70">
        <v>6</v>
      </c>
      <c r="F63" s="66" t="s">
        <v>9</v>
      </c>
      <c r="G63" s="18" t="e">
        <f t="shared" si="0"/>
        <v>#VALUE!</v>
      </c>
      <c r="H63" s="19" t="s">
        <v>9</v>
      </c>
    </row>
    <row r="64" spans="1:8" ht="20" customHeight="1" x14ac:dyDescent="0.2">
      <c r="A64" s="8">
        <v>27</v>
      </c>
      <c r="B64" s="74" t="s">
        <v>9</v>
      </c>
      <c r="C64" s="75" t="s">
        <v>9</v>
      </c>
      <c r="D64" s="68" t="s">
        <v>9</v>
      </c>
      <c r="E64" s="68" t="s">
        <v>9</v>
      </c>
      <c r="F64" s="9" t="s">
        <v>9</v>
      </c>
      <c r="G64" s="12" t="e">
        <f t="shared" si="0"/>
        <v>#VALUE!</v>
      </c>
      <c r="H64" s="13" t="s">
        <v>9</v>
      </c>
    </row>
    <row r="65" spans="1:8" ht="20" customHeight="1" x14ac:dyDescent="0.2">
      <c r="A65" s="14">
        <v>28</v>
      </c>
      <c r="B65" s="15" t="s">
        <v>9</v>
      </c>
      <c r="C65" s="16" t="s">
        <v>9</v>
      </c>
      <c r="D65" s="17" t="s">
        <v>9</v>
      </c>
      <c r="E65" s="17" t="s">
        <v>9</v>
      </c>
      <c r="F65" s="15" t="s">
        <v>9</v>
      </c>
      <c r="G65" s="18" t="e">
        <f t="shared" si="0"/>
        <v>#VALUE!</v>
      </c>
      <c r="H65" s="19" t="s">
        <v>9</v>
      </c>
    </row>
    <row r="66" spans="1:8" ht="20" customHeight="1" x14ac:dyDescent="0.2">
      <c r="A66" s="8">
        <v>29</v>
      </c>
      <c r="B66" s="9" t="s">
        <v>9</v>
      </c>
      <c r="C66" s="10" t="s">
        <v>9</v>
      </c>
      <c r="D66" s="11" t="s">
        <v>9</v>
      </c>
      <c r="E66" s="11" t="s">
        <v>9</v>
      </c>
      <c r="F66" s="9" t="s">
        <v>9</v>
      </c>
      <c r="G66" s="12" t="e">
        <f t="shared" si="0"/>
        <v>#VALUE!</v>
      </c>
      <c r="H66" s="13" t="s">
        <v>9</v>
      </c>
    </row>
    <row r="67" spans="1:8" ht="20" customHeight="1" x14ac:dyDescent="0.2">
      <c r="A67" s="14">
        <v>30</v>
      </c>
      <c r="B67" s="15" t="s">
        <v>9</v>
      </c>
      <c r="C67" s="16" t="s">
        <v>9</v>
      </c>
      <c r="D67" s="17" t="s">
        <v>9</v>
      </c>
      <c r="E67" s="17" t="s">
        <v>9</v>
      </c>
      <c r="F67" s="15" t="s">
        <v>9</v>
      </c>
      <c r="G67" s="18" t="e">
        <f t="shared" si="0"/>
        <v>#VALUE!</v>
      </c>
      <c r="H67" s="19" t="s">
        <v>9</v>
      </c>
    </row>
    <row r="68" spans="1:8" ht="24" customHeight="1" x14ac:dyDescent="0.2">
      <c r="A68" s="55" t="s">
        <v>44</v>
      </c>
      <c r="B68" s="55"/>
      <c r="C68" s="55"/>
      <c r="D68" s="55"/>
      <c r="E68" s="55"/>
      <c r="F68" s="20">
        <f>SUM(F17:F67)</f>
        <v>0</v>
      </c>
      <c r="G68" s="20" t="e">
        <f>SUM(G17:G67)</f>
        <v>#VALUE!</v>
      </c>
      <c r="H68" s="21" t="s">
        <v>9</v>
      </c>
    </row>
    <row r="69" spans="1:8" ht="12" customHeight="1" x14ac:dyDescent="0.2"/>
    <row r="70" spans="1:8" ht="20" customHeight="1" x14ac:dyDescent="0.2">
      <c r="A70" s="56" t="s">
        <v>45</v>
      </c>
      <c r="B70" s="56"/>
      <c r="C70" s="56"/>
      <c r="D70" s="56"/>
      <c r="E70" s="56"/>
      <c r="F70" s="56"/>
      <c r="G70" s="56"/>
      <c r="H70" s="56"/>
    </row>
    <row r="71" spans="1:8" ht="18" customHeight="1" x14ac:dyDescent="0.2">
      <c r="A71" s="57" t="s">
        <v>46</v>
      </c>
      <c r="B71" s="57"/>
      <c r="C71" s="57"/>
      <c r="D71" s="57"/>
      <c r="E71" s="57"/>
      <c r="F71" s="57"/>
      <c r="G71" s="57"/>
      <c r="H71" s="57"/>
    </row>
    <row r="72" spans="1:8" ht="18" customHeight="1" x14ac:dyDescent="0.2">
      <c r="A72" s="57" t="s">
        <v>47</v>
      </c>
      <c r="B72" s="57"/>
      <c r="C72" s="57"/>
      <c r="D72" s="57"/>
      <c r="E72" s="57"/>
      <c r="F72" s="57"/>
      <c r="G72" s="57"/>
      <c r="H72" s="57"/>
    </row>
    <row r="73" spans="1:8" ht="18" customHeight="1" x14ac:dyDescent="0.2">
      <c r="A73" s="57" t="s">
        <v>48</v>
      </c>
      <c r="B73" s="57"/>
      <c r="C73" s="57"/>
      <c r="D73" s="57"/>
      <c r="E73" s="57"/>
      <c r="F73" s="57"/>
      <c r="G73" s="57"/>
      <c r="H73" s="57"/>
    </row>
    <row r="74" spans="1:8" ht="18" customHeight="1" x14ac:dyDescent="0.2">
      <c r="A74" s="57" t="s">
        <v>49</v>
      </c>
      <c r="B74" s="57"/>
      <c r="C74" s="57"/>
      <c r="D74" s="57"/>
      <c r="E74" s="57"/>
      <c r="F74" s="57"/>
      <c r="G74" s="57"/>
      <c r="H74" s="57"/>
    </row>
    <row r="75" spans="1:8" ht="18" customHeight="1" x14ac:dyDescent="0.2">
      <c r="A75" s="58" t="s">
        <v>50</v>
      </c>
      <c r="B75" s="58"/>
      <c r="C75" s="58"/>
      <c r="D75" s="58"/>
      <c r="E75" s="58"/>
      <c r="F75" s="58"/>
      <c r="G75" s="58"/>
      <c r="H75" s="58"/>
    </row>
  </sheetData>
  <mergeCells count="26">
    <mergeCell ref="A72:H72"/>
    <mergeCell ref="A73:H73"/>
    <mergeCell ref="A74:H74"/>
    <mergeCell ref="A75:H75"/>
    <mergeCell ref="A12:H12"/>
    <mergeCell ref="F14:H14"/>
    <mergeCell ref="A68:E68"/>
    <mergeCell ref="A70:H70"/>
    <mergeCell ref="A71:H71"/>
    <mergeCell ref="B8:D8"/>
    <mergeCell ref="F8:H8"/>
    <mergeCell ref="B9:D9"/>
    <mergeCell ref="F9:H9"/>
    <mergeCell ref="B10:D10"/>
    <mergeCell ref="F10:H10"/>
    <mergeCell ref="A5:D5"/>
    <mergeCell ref="E5:H5"/>
    <mergeCell ref="B6:D6"/>
    <mergeCell ref="F6:H6"/>
    <mergeCell ref="B7:D7"/>
    <mergeCell ref="F7:H7"/>
    <mergeCell ref="A1:F1"/>
    <mergeCell ref="G1:H1"/>
    <mergeCell ref="A2:F2"/>
    <mergeCell ref="G2:H2"/>
    <mergeCell ref="A3:H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5"/>
  <sheetViews>
    <sheetView workbookViewId="0"/>
  </sheetViews>
  <sheetFormatPr baseColWidth="10" defaultColWidth="8.83203125" defaultRowHeight="15" x14ac:dyDescent="0.2"/>
  <cols>
    <col min="1" max="1" width="6" customWidth="1"/>
    <col min="2" max="2" width="18" customWidth="1"/>
    <col min="3" max="3" width="42" customWidth="1"/>
    <col min="4" max="4" width="14" customWidth="1"/>
    <col min="5" max="5" width="12" customWidth="1"/>
    <col min="6" max="25" width="14" customWidth="1"/>
    <col min="26" max="26" width="15" customWidth="1"/>
    <col min="27" max="27" width="16" customWidth="1"/>
  </cols>
  <sheetData>
    <row r="1" spans="1:27" ht="24" customHeight="1" x14ac:dyDescent="0.2">
      <c r="A1" s="44" t="s">
        <v>51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 spans="1:27" ht="18" customHeight="1" x14ac:dyDescent="0.2">
      <c r="A2" s="59" t="s">
        <v>52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1:27" ht="18" customHeight="1" x14ac:dyDescent="0.2">
      <c r="A3" s="60" t="s">
        <v>53</v>
      </c>
      <c r="B3" s="60"/>
      <c r="C3" s="60"/>
      <c r="D3" s="60"/>
      <c r="E3" s="22" t="s">
        <v>54</v>
      </c>
      <c r="F3" s="61" t="s">
        <v>55</v>
      </c>
      <c r="G3" s="61"/>
      <c r="H3" s="61"/>
      <c r="I3" s="61"/>
      <c r="J3" s="61"/>
      <c r="K3" s="61"/>
      <c r="L3" s="61"/>
      <c r="M3" s="61"/>
      <c r="N3" s="62" t="s">
        <v>56</v>
      </c>
      <c r="O3" s="62"/>
      <c r="P3" s="62"/>
      <c r="Q3" s="62"/>
      <c r="R3" s="62"/>
      <c r="S3" s="62"/>
      <c r="T3" s="62"/>
      <c r="U3" s="62"/>
      <c r="V3" s="63" t="s">
        <v>57</v>
      </c>
      <c r="W3" s="63"/>
      <c r="X3" s="63"/>
      <c r="Y3" s="63"/>
      <c r="Z3" s="60" t="s">
        <v>58</v>
      </c>
      <c r="AA3" s="60"/>
    </row>
    <row r="4" spans="1:27" ht="24" customHeight="1" x14ac:dyDescent="0.2">
      <c r="A4" s="23" t="s">
        <v>36</v>
      </c>
      <c r="B4" s="23" t="s">
        <v>59</v>
      </c>
      <c r="C4" s="23" t="s">
        <v>38</v>
      </c>
      <c r="D4" s="23" t="s">
        <v>60</v>
      </c>
      <c r="E4" s="23" t="s">
        <v>61</v>
      </c>
      <c r="F4" s="23" t="s">
        <v>62</v>
      </c>
      <c r="G4" s="23" t="s">
        <v>63</v>
      </c>
      <c r="H4" s="23" t="s">
        <v>64</v>
      </c>
      <c r="I4" s="23" t="s">
        <v>65</v>
      </c>
      <c r="J4" s="23" t="s">
        <v>66</v>
      </c>
      <c r="K4" s="23" t="s">
        <v>67</v>
      </c>
      <c r="L4" s="23" t="s">
        <v>68</v>
      </c>
      <c r="M4" s="23" t="s">
        <v>69</v>
      </c>
      <c r="N4" s="23" t="s">
        <v>70</v>
      </c>
      <c r="O4" s="23" t="s">
        <v>71</v>
      </c>
      <c r="P4" s="23" t="s">
        <v>72</v>
      </c>
      <c r="Q4" s="23" t="s">
        <v>73</v>
      </c>
      <c r="R4" s="23" t="s">
        <v>74</v>
      </c>
      <c r="S4" s="23" t="s">
        <v>75</v>
      </c>
      <c r="T4" s="23" t="s">
        <v>76</v>
      </c>
      <c r="U4" s="23" t="s">
        <v>77</v>
      </c>
      <c r="V4" s="23" t="s">
        <v>78</v>
      </c>
      <c r="W4" s="23" t="s">
        <v>79</v>
      </c>
      <c r="X4" s="23" t="s">
        <v>80</v>
      </c>
      <c r="Y4" s="23" t="s">
        <v>81</v>
      </c>
      <c r="Z4" s="23" t="s">
        <v>82</v>
      </c>
      <c r="AA4" s="23" t="s">
        <v>83</v>
      </c>
    </row>
    <row r="5" spans="1:27" ht="20" customHeight="1" x14ac:dyDescent="0.2">
      <c r="A5" s="8">
        <v>1</v>
      </c>
      <c r="B5" s="24">
        <f>IF('PEDIDO COMERCIAL'!B17="","",'PEDIDO COMERCIAL'!B17)</f>
        <v>284</v>
      </c>
      <c r="C5" s="25" t="str">
        <f>IF('PEDIDO COMERCIAL'!C17="","",'PEDIDO COMERCIAL'!C17)</f>
        <v>CAIXA ORGANIZADORA 9L TRANSPARENTE</v>
      </c>
      <c r="D5" s="12" t="e">
        <f>IF('PEDIDO COMERCIAL'!G17="","",'PEDIDO COMERCIAL'!G17)</f>
        <v>#VALUE!</v>
      </c>
      <c r="E5" s="26" t="s">
        <v>9</v>
      </c>
      <c r="F5" s="26" t="s">
        <v>9</v>
      </c>
      <c r="G5" s="26" t="s">
        <v>9</v>
      </c>
      <c r="H5" s="26" t="s">
        <v>9</v>
      </c>
      <c r="I5" s="26" t="s">
        <v>9</v>
      </c>
      <c r="J5" s="26" t="s">
        <v>9</v>
      </c>
      <c r="K5" s="26" t="s">
        <v>9</v>
      </c>
      <c r="L5" s="26" t="s">
        <v>9</v>
      </c>
      <c r="M5" s="26" t="s">
        <v>9</v>
      </c>
      <c r="N5" s="26" t="s">
        <v>9</v>
      </c>
      <c r="O5" s="26" t="s">
        <v>9</v>
      </c>
      <c r="P5" s="26" t="s">
        <v>9</v>
      </c>
      <c r="Q5" s="26" t="s">
        <v>9</v>
      </c>
      <c r="R5" s="26" t="s">
        <v>9</v>
      </c>
      <c r="S5" s="26" t="s">
        <v>9</v>
      </c>
      <c r="T5" s="26" t="s">
        <v>9</v>
      </c>
      <c r="U5" s="26" t="s">
        <v>9</v>
      </c>
      <c r="V5" s="26" t="s">
        <v>9</v>
      </c>
      <c r="W5" s="26" t="s">
        <v>9</v>
      </c>
      <c r="X5" s="26" t="s">
        <v>9</v>
      </c>
      <c r="Y5" s="26" t="s">
        <v>9</v>
      </c>
      <c r="Z5" s="24" t="e">
        <f t="shared" ref="Z5:Z34" si="0">IF(OR(D5="",COUNT(E5:Y5)=0),"",SUM(E5:Y5))</f>
        <v>#VALUE!</v>
      </c>
      <c r="AA5" s="12" t="e">
        <f t="shared" ref="AA5:AA34" si="1">IF(OR(D5="",D5=0),"",IF(Z5=D5,"OK (100%)","DIVERGENTE"))</f>
        <v>#VALUE!</v>
      </c>
    </row>
    <row r="6" spans="1:27" ht="20" customHeight="1" x14ac:dyDescent="0.2">
      <c r="A6" s="14">
        <v>2</v>
      </c>
      <c r="B6" s="27" t="str">
        <f>IF('PEDIDO COMERCIAL'!B18="","",'PEDIDO COMERCIAL'!B18)</f>
        <v>318</v>
      </c>
      <c r="C6" s="28" t="str">
        <f>IF('PEDIDO COMERCIAL'!C18="","",'PEDIDO COMERCIAL'!C18)</f>
        <v>CAIXA ORGANIZADORA 9L COLOR PRIME</v>
      </c>
      <c r="D6" s="18" t="e">
        <f>IF('PEDIDO COMERCIAL'!G18="","",'PEDIDO COMERCIAL'!G18)</f>
        <v>#VALUE!</v>
      </c>
      <c r="E6" s="29" t="s">
        <v>9</v>
      </c>
      <c r="F6" s="29" t="s">
        <v>9</v>
      </c>
      <c r="G6" s="29" t="s">
        <v>9</v>
      </c>
      <c r="H6" s="29" t="s">
        <v>9</v>
      </c>
      <c r="I6" s="29" t="s">
        <v>9</v>
      </c>
      <c r="J6" s="29" t="s">
        <v>9</v>
      </c>
      <c r="K6" s="29" t="s">
        <v>9</v>
      </c>
      <c r="L6" s="29" t="s">
        <v>9</v>
      </c>
      <c r="M6" s="29" t="s">
        <v>9</v>
      </c>
      <c r="N6" s="29" t="s">
        <v>9</v>
      </c>
      <c r="O6" s="29" t="s">
        <v>9</v>
      </c>
      <c r="P6" s="29" t="s">
        <v>9</v>
      </c>
      <c r="Q6" s="29" t="s">
        <v>9</v>
      </c>
      <c r="R6" s="29" t="s">
        <v>9</v>
      </c>
      <c r="S6" s="29" t="s">
        <v>9</v>
      </c>
      <c r="T6" s="29" t="s">
        <v>9</v>
      </c>
      <c r="U6" s="29" t="s">
        <v>9</v>
      </c>
      <c r="V6" s="29" t="s">
        <v>9</v>
      </c>
      <c r="W6" s="29" t="s">
        <v>9</v>
      </c>
      <c r="X6" s="29" t="s">
        <v>9</v>
      </c>
      <c r="Y6" s="29" t="s">
        <v>9</v>
      </c>
      <c r="Z6" s="27" t="e">
        <f t="shared" si="0"/>
        <v>#VALUE!</v>
      </c>
      <c r="AA6" s="18" t="e">
        <f t="shared" si="1"/>
        <v>#VALUE!</v>
      </c>
    </row>
    <row r="7" spans="1:27" ht="20" customHeight="1" x14ac:dyDescent="0.2">
      <c r="A7" s="8">
        <v>3</v>
      </c>
      <c r="B7" s="24" t="str">
        <f>IF('PEDIDO COMERCIAL'!B19="","",'PEDIDO COMERCIAL'!B19)</f>
        <v>402</v>
      </c>
      <c r="C7" s="25" t="str">
        <f>IF('PEDIDO COMERCIAL'!C19="","",'PEDIDO COMERCIAL'!C19)</f>
        <v xml:space="preserve">CAIXA ORGANIZADORA 9L PRETA </v>
      </c>
      <c r="D7" s="12" t="e">
        <f>IF('PEDIDO COMERCIAL'!G19="","",'PEDIDO COMERCIAL'!G19)</f>
        <v>#VALUE!</v>
      </c>
      <c r="E7" s="26" t="s">
        <v>9</v>
      </c>
      <c r="F7" s="26" t="s">
        <v>9</v>
      </c>
      <c r="G7" s="26" t="s">
        <v>9</v>
      </c>
      <c r="H7" s="26" t="s">
        <v>9</v>
      </c>
      <c r="I7" s="26" t="s">
        <v>9</v>
      </c>
      <c r="J7" s="26" t="s">
        <v>9</v>
      </c>
      <c r="K7" s="26" t="s">
        <v>9</v>
      </c>
      <c r="L7" s="26" t="s">
        <v>9</v>
      </c>
      <c r="M7" s="26" t="s">
        <v>9</v>
      </c>
      <c r="N7" s="26" t="s">
        <v>9</v>
      </c>
      <c r="O7" s="26" t="s">
        <v>9</v>
      </c>
      <c r="P7" s="26" t="s">
        <v>9</v>
      </c>
      <c r="Q7" s="26" t="s">
        <v>9</v>
      </c>
      <c r="R7" s="26" t="s">
        <v>9</v>
      </c>
      <c r="S7" s="26" t="s">
        <v>9</v>
      </c>
      <c r="T7" s="26" t="s">
        <v>9</v>
      </c>
      <c r="U7" s="26" t="s">
        <v>9</v>
      </c>
      <c r="V7" s="26" t="s">
        <v>9</v>
      </c>
      <c r="W7" s="26" t="s">
        <v>9</v>
      </c>
      <c r="X7" s="26" t="s">
        <v>9</v>
      </c>
      <c r="Y7" s="26" t="s">
        <v>9</v>
      </c>
      <c r="Z7" s="24" t="e">
        <f t="shared" si="0"/>
        <v>#VALUE!</v>
      </c>
      <c r="AA7" s="12" t="e">
        <f t="shared" si="1"/>
        <v>#VALUE!</v>
      </c>
    </row>
    <row r="8" spans="1:27" ht="20" customHeight="1" x14ac:dyDescent="0.2">
      <c r="A8" s="14">
        <v>4</v>
      </c>
      <c r="B8" s="27" t="str">
        <f>IF('PEDIDO COMERCIAL'!B20="","",'PEDIDO COMERCIAL'!B20)</f>
        <v>411</v>
      </c>
      <c r="C8" s="28" t="str">
        <f>IF('PEDIDO COMERCIAL'!C20="","",'PEDIDO COMERCIAL'!C20)</f>
        <v xml:space="preserve">CAIXA ORGANIZADORA 15L PRETA </v>
      </c>
      <c r="D8" s="18" t="e">
        <f>IF('PEDIDO COMERCIAL'!G20="","",'PEDIDO COMERCIAL'!G20)</f>
        <v>#VALUE!</v>
      </c>
      <c r="E8" s="29" t="s">
        <v>9</v>
      </c>
      <c r="F8" s="29" t="s">
        <v>9</v>
      </c>
      <c r="G8" s="29" t="s">
        <v>9</v>
      </c>
      <c r="H8" s="29" t="s">
        <v>9</v>
      </c>
      <c r="I8" s="29" t="s">
        <v>9</v>
      </c>
      <c r="J8" s="29" t="s">
        <v>9</v>
      </c>
      <c r="K8" s="29" t="s">
        <v>9</v>
      </c>
      <c r="L8" s="29" t="s">
        <v>9</v>
      </c>
      <c r="M8" s="29" t="s">
        <v>9</v>
      </c>
      <c r="N8" s="29" t="s">
        <v>9</v>
      </c>
      <c r="O8" s="29" t="s">
        <v>9</v>
      </c>
      <c r="P8" s="29" t="s">
        <v>9</v>
      </c>
      <c r="Q8" s="29" t="s">
        <v>9</v>
      </c>
      <c r="R8" s="29" t="s">
        <v>9</v>
      </c>
      <c r="S8" s="29" t="s">
        <v>9</v>
      </c>
      <c r="T8" s="29" t="s">
        <v>9</v>
      </c>
      <c r="U8" s="29" t="s">
        <v>9</v>
      </c>
      <c r="V8" s="29" t="s">
        <v>9</v>
      </c>
      <c r="W8" s="29" t="s">
        <v>9</v>
      </c>
      <c r="X8" s="29" t="s">
        <v>9</v>
      </c>
      <c r="Y8" s="29" t="s">
        <v>9</v>
      </c>
      <c r="Z8" s="27" t="e">
        <f t="shared" si="0"/>
        <v>#VALUE!</v>
      </c>
      <c r="AA8" s="18" t="e">
        <f t="shared" si="1"/>
        <v>#VALUE!</v>
      </c>
    </row>
    <row r="9" spans="1:27" ht="20" customHeight="1" x14ac:dyDescent="0.2">
      <c r="A9" s="8">
        <v>5</v>
      </c>
      <c r="B9" s="24" t="str">
        <f>IF('PEDIDO COMERCIAL'!B21="","",'PEDIDO COMERCIAL'!B21)</f>
        <v>283</v>
      </c>
      <c r="C9" s="25" t="str">
        <f>IF('PEDIDO COMERCIAL'!C21="","",'PEDIDO COMERCIAL'!C21)</f>
        <v>CAIXA ORGANIZADORA 15L TRANSPARENTE</v>
      </c>
      <c r="D9" s="12" t="e">
        <f>IF('PEDIDO COMERCIAL'!G21="","",'PEDIDO COMERCIAL'!G21)</f>
        <v>#VALUE!</v>
      </c>
      <c r="E9" s="26" t="s">
        <v>9</v>
      </c>
      <c r="F9" s="26" t="s">
        <v>9</v>
      </c>
      <c r="G9" s="26" t="s">
        <v>9</v>
      </c>
      <c r="H9" s="26" t="s">
        <v>9</v>
      </c>
      <c r="I9" s="26" t="s">
        <v>9</v>
      </c>
      <c r="J9" s="26" t="s">
        <v>9</v>
      </c>
      <c r="K9" s="26" t="s">
        <v>9</v>
      </c>
      <c r="L9" s="26" t="s">
        <v>9</v>
      </c>
      <c r="M9" s="26" t="s">
        <v>9</v>
      </c>
      <c r="N9" s="26" t="s">
        <v>9</v>
      </c>
      <c r="O9" s="26" t="s">
        <v>9</v>
      </c>
      <c r="P9" s="26" t="s">
        <v>9</v>
      </c>
      <c r="Q9" s="26" t="s">
        <v>9</v>
      </c>
      <c r="R9" s="26" t="s">
        <v>9</v>
      </c>
      <c r="S9" s="26" t="s">
        <v>9</v>
      </c>
      <c r="T9" s="26" t="s">
        <v>9</v>
      </c>
      <c r="U9" s="26" t="s">
        <v>9</v>
      </c>
      <c r="V9" s="26" t="s">
        <v>9</v>
      </c>
      <c r="W9" s="26" t="s">
        <v>9</v>
      </c>
      <c r="X9" s="26" t="s">
        <v>9</v>
      </c>
      <c r="Y9" s="26" t="s">
        <v>9</v>
      </c>
      <c r="Z9" s="24" t="e">
        <f t="shared" si="0"/>
        <v>#VALUE!</v>
      </c>
      <c r="AA9" s="12" t="e">
        <f t="shared" si="1"/>
        <v>#VALUE!</v>
      </c>
    </row>
    <row r="10" spans="1:27" ht="20" customHeight="1" x14ac:dyDescent="0.2">
      <c r="A10" s="14">
        <v>6</v>
      </c>
      <c r="B10" s="27" t="str">
        <f>IF('PEDIDO COMERCIAL'!B22="","",'PEDIDO COMERCIAL'!B22)</f>
        <v>410</v>
      </c>
      <c r="C10" s="28" t="str">
        <f>IF('PEDIDO COMERCIAL'!C22="","",'PEDIDO COMERCIAL'!C22)</f>
        <v>CAIXA ORGANIZADORA 15L COLOR PRIME</v>
      </c>
      <c r="D10" s="18" t="e">
        <f>IF('PEDIDO COMERCIAL'!G22="","",'PEDIDO COMERCIAL'!G22)</f>
        <v>#VALUE!</v>
      </c>
      <c r="E10" s="29" t="s">
        <v>9</v>
      </c>
      <c r="F10" s="29" t="s">
        <v>9</v>
      </c>
      <c r="G10" s="29" t="s">
        <v>9</v>
      </c>
      <c r="H10" s="29" t="s">
        <v>9</v>
      </c>
      <c r="I10" s="29" t="s">
        <v>9</v>
      </c>
      <c r="J10" s="29" t="s">
        <v>9</v>
      </c>
      <c r="K10" s="29" t="s">
        <v>9</v>
      </c>
      <c r="L10" s="29" t="s">
        <v>9</v>
      </c>
      <c r="M10" s="29" t="s">
        <v>9</v>
      </c>
      <c r="N10" s="29" t="s">
        <v>9</v>
      </c>
      <c r="O10" s="29" t="s">
        <v>9</v>
      </c>
      <c r="P10" s="29" t="s">
        <v>9</v>
      </c>
      <c r="Q10" s="29" t="s">
        <v>9</v>
      </c>
      <c r="R10" s="29" t="s">
        <v>9</v>
      </c>
      <c r="S10" s="29" t="s">
        <v>9</v>
      </c>
      <c r="T10" s="29" t="s">
        <v>9</v>
      </c>
      <c r="U10" s="29" t="s">
        <v>9</v>
      </c>
      <c r="V10" s="29" t="s">
        <v>9</v>
      </c>
      <c r="W10" s="29" t="s">
        <v>9</v>
      </c>
      <c r="X10" s="29" t="s">
        <v>9</v>
      </c>
      <c r="Y10" s="29" t="s">
        <v>9</v>
      </c>
      <c r="Z10" s="27" t="e">
        <f t="shared" si="0"/>
        <v>#VALUE!</v>
      </c>
      <c r="AA10" s="18" t="e">
        <f t="shared" si="1"/>
        <v>#VALUE!</v>
      </c>
    </row>
    <row r="11" spans="1:27" ht="20" customHeight="1" x14ac:dyDescent="0.2">
      <c r="A11" s="8">
        <v>7</v>
      </c>
      <c r="B11" s="24" t="str">
        <f>IF('PEDIDO COMERCIAL'!B23="","",'PEDIDO COMERCIAL'!B23)</f>
        <v>303</v>
      </c>
      <c r="C11" s="25" t="str">
        <f>IF('PEDIDO COMERCIAL'!C23="","",'PEDIDO COMERCIAL'!C23)</f>
        <v>ESCORREDOR DE LOUÇA PRETO</v>
      </c>
      <c r="D11" s="12" t="e">
        <f>IF('PEDIDO COMERCIAL'!G23="","",'PEDIDO COMERCIAL'!G23)</f>
        <v>#VALUE!</v>
      </c>
      <c r="E11" s="26" t="s">
        <v>9</v>
      </c>
      <c r="F11" s="26" t="s">
        <v>9</v>
      </c>
      <c r="G11" s="26" t="s">
        <v>9</v>
      </c>
      <c r="H11" s="26" t="s">
        <v>9</v>
      </c>
      <c r="I11" s="26" t="s">
        <v>9</v>
      </c>
      <c r="J11" s="26" t="s">
        <v>9</v>
      </c>
      <c r="K11" s="26" t="s">
        <v>9</v>
      </c>
      <c r="L11" s="26" t="s">
        <v>9</v>
      </c>
      <c r="M11" s="26" t="s">
        <v>9</v>
      </c>
      <c r="N11" s="26" t="s">
        <v>9</v>
      </c>
      <c r="O11" s="26" t="s">
        <v>9</v>
      </c>
      <c r="P11" s="26" t="s">
        <v>9</v>
      </c>
      <c r="Q11" s="26" t="s">
        <v>9</v>
      </c>
      <c r="R11" s="26" t="s">
        <v>9</v>
      </c>
      <c r="S11" s="26" t="s">
        <v>9</v>
      </c>
      <c r="T11" s="26" t="s">
        <v>9</v>
      </c>
      <c r="U11" s="26" t="s">
        <v>9</v>
      </c>
      <c r="V11" s="26" t="s">
        <v>9</v>
      </c>
      <c r="W11" s="26" t="s">
        <v>9</v>
      </c>
      <c r="X11" s="26" t="s">
        <v>9</v>
      </c>
      <c r="Y11" s="26" t="s">
        <v>9</v>
      </c>
      <c r="Z11" s="24" t="e">
        <f t="shared" si="0"/>
        <v>#VALUE!</v>
      </c>
      <c r="AA11" s="12" t="e">
        <f t="shared" si="1"/>
        <v>#VALUE!</v>
      </c>
    </row>
    <row r="12" spans="1:27" ht="20" customHeight="1" x14ac:dyDescent="0.2">
      <c r="A12" s="14">
        <v>8</v>
      </c>
      <c r="B12" s="27" t="str">
        <f>IF('PEDIDO COMERCIAL'!B24="","",'PEDIDO COMERCIAL'!B24)</f>
        <v>181</v>
      </c>
      <c r="C12" s="28" t="str">
        <f>IF('PEDIDO COMERCIAL'!C24="","",'PEDIDO COMERCIAL'!C24)</f>
        <v>ESCORREDOR DE LOUÇA PRIME COLOR</v>
      </c>
      <c r="D12" s="18" t="e">
        <f>IF('PEDIDO COMERCIAL'!G24="","",'PEDIDO COMERCIAL'!G24)</f>
        <v>#VALUE!</v>
      </c>
      <c r="E12" s="29" t="s">
        <v>9</v>
      </c>
      <c r="F12" s="29" t="s">
        <v>9</v>
      </c>
      <c r="G12" s="29" t="s">
        <v>9</v>
      </c>
      <c r="H12" s="29" t="s">
        <v>9</v>
      </c>
      <c r="I12" s="29" t="s">
        <v>9</v>
      </c>
      <c r="J12" s="29" t="s">
        <v>9</v>
      </c>
      <c r="K12" s="29" t="s">
        <v>9</v>
      </c>
      <c r="L12" s="29" t="s">
        <v>9</v>
      </c>
      <c r="M12" s="29" t="s">
        <v>9</v>
      </c>
      <c r="N12" s="29" t="s">
        <v>9</v>
      </c>
      <c r="O12" s="29" t="s">
        <v>9</v>
      </c>
      <c r="P12" s="29" t="s">
        <v>9</v>
      </c>
      <c r="Q12" s="29" t="s">
        <v>9</v>
      </c>
      <c r="R12" s="29" t="s">
        <v>9</v>
      </c>
      <c r="S12" s="29" t="s">
        <v>9</v>
      </c>
      <c r="T12" s="29" t="s">
        <v>9</v>
      </c>
      <c r="U12" s="29" t="s">
        <v>9</v>
      </c>
      <c r="V12" s="29" t="s">
        <v>9</v>
      </c>
      <c r="W12" s="29" t="s">
        <v>9</v>
      </c>
      <c r="X12" s="29" t="s">
        <v>9</v>
      </c>
      <c r="Y12" s="29" t="s">
        <v>9</v>
      </c>
      <c r="Z12" s="27" t="e">
        <f t="shared" si="0"/>
        <v>#VALUE!</v>
      </c>
      <c r="AA12" s="18" t="e">
        <f t="shared" si="1"/>
        <v>#VALUE!</v>
      </c>
    </row>
    <row r="13" spans="1:27" ht="20" customHeight="1" x14ac:dyDescent="0.2">
      <c r="A13" s="8">
        <v>9</v>
      </c>
      <c r="B13" s="24" t="str">
        <f>IF('PEDIDO COMERCIAL'!B25="","",'PEDIDO COMERCIAL'!B25)</f>
        <v>347</v>
      </c>
      <c r="C13" s="25" t="str">
        <f>IF('PEDIDO COMERCIAL'!C25="","",'PEDIDO COMERCIAL'!C25)</f>
        <v>KIT VASO GREGO RED. PTO 3PÇS PMG</v>
      </c>
      <c r="D13" s="12" t="e">
        <f>IF('PEDIDO COMERCIAL'!G25="","",'PEDIDO COMERCIAL'!G25)</f>
        <v>#VALUE!</v>
      </c>
      <c r="E13" s="26" t="s">
        <v>9</v>
      </c>
      <c r="F13" s="26" t="s">
        <v>9</v>
      </c>
      <c r="G13" s="26" t="s">
        <v>9</v>
      </c>
      <c r="H13" s="26" t="s">
        <v>9</v>
      </c>
      <c r="I13" s="26" t="s">
        <v>9</v>
      </c>
      <c r="J13" s="26" t="s">
        <v>9</v>
      </c>
      <c r="K13" s="26" t="s">
        <v>9</v>
      </c>
      <c r="L13" s="26" t="s">
        <v>9</v>
      </c>
      <c r="M13" s="26" t="s">
        <v>9</v>
      </c>
      <c r="N13" s="26" t="s">
        <v>9</v>
      </c>
      <c r="O13" s="26" t="s">
        <v>9</v>
      </c>
      <c r="P13" s="26" t="s">
        <v>9</v>
      </c>
      <c r="Q13" s="26" t="s">
        <v>9</v>
      </c>
      <c r="R13" s="26" t="s">
        <v>9</v>
      </c>
      <c r="S13" s="26" t="s">
        <v>9</v>
      </c>
      <c r="T13" s="26" t="s">
        <v>9</v>
      </c>
      <c r="U13" s="26" t="s">
        <v>9</v>
      </c>
      <c r="V13" s="26" t="s">
        <v>9</v>
      </c>
      <c r="W13" s="26" t="s">
        <v>9</v>
      </c>
      <c r="X13" s="26" t="s">
        <v>9</v>
      </c>
      <c r="Y13" s="26" t="s">
        <v>9</v>
      </c>
      <c r="Z13" s="24" t="e">
        <f t="shared" si="0"/>
        <v>#VALUE!</v>
      </c>
      <c r="AA13" s="12" t="e">
        <f t="shared" si="1"/>
        <v>#VALUE!</v>
      </c>
    </row>
    <row r="14" spans="1:27" ht="20" customHeight="1" x14ac:dyDescent="0.2">
      <c r="A14" s="14">
        <v>10</v>
      </c>
      <c r="B14" s="27" t="str">
        <f>IF('PEDIDO COMERCIAL'!B47="","",'PEDIDO COMERCIAL'!B47)</f>
        <v>383</v>
      </c>
      <c r="C14" s="28" t="str">
        <f>IF('PEDIDO COMERCIAL'!C47="","",'PEDIDO COMERCIAL'!C47)</f>
        <v>VASO ROMA QUADRADO COLOR  G 21L</v>
      </c>
      <c r="D14" s="18" t="e">
        <f>IF('PEDIDO COMERCIAL'!G47="","",'PEDIDO COMERCIAL'!G47)</f>
        <v>#VALUE!</v>
      </c>
      <c r="E14" s="29" t="s">
        <v>9</v>
      </c>
      <c r="F14" s="29" t="s">
        <v>9</v>
      </c>
      <c r="G14" s="29" t="s">
        <v>9</v>
      </c>
      <c r="H14" s="29" t="s">
        <v>9</v>
      </c>
      <c r="I14" s="29" t="s">
        <v>9</v>
      </c>
      <c r="J14" s="29" t="s">
        <v>9</v>
      </c>
      <c r="K14" s="29" t="s">
        <v>9</v>
      </c>
      <c r="L14" s="29" t="s">
        <v>9</v>
      </c>
      <c r="M14" s="29" t="s">
        <v>9</v>
      </c>
      <c r="N14" s="29" t="s">
        <v>9</v>
      </c>
      <c r="O14" s="29" t="s">
        <v>9</v>
      </c>
      <c r="P14" s="29" t="s">
        <v>9</v>
      </c>
      <c r="Q14" s="29" t="s">
        <v>9</v>
      </c>
      <c r="R14" s="29" t="s">
        <v>9</v>
      </c>
      <c r="S14" s="29" t="s">
        <v>9</v>
      </c>
      <c r="T14" s="29" t="s">
        <v>9</v>
      </c>
      <c r="U14" s="29" t="s">
        <v>9</v>
      </c>
      <c r="V14" s="29" t="s">
        <v>9</v>
      </c>
      <c r="W14" s="29" t="s">
        <v>9</v>
      </c>
      <c r="X14" s="29" t="s">
        <v>9</v>
      </c>
      <c r="Y14" s="29" t="s">
        <v>9</v>
      </c>
      <c r="Z14" s="27" t="e">
        <f t="shared" si="0"/>
        <v>#VALUE!</v>
      </c>
      <c r="AA14" s="18" t="e">
        <f t="shared" si="1"/>
        <v>#VALUE!</v>
      </c>
    </row>
    <row r="15" spans="1:27" ht="20" customHeight="1" x14ac:dyDescent="0.2">
      <c r="A15" s="8">
        <v>11</v>
      </c>
      <c r="B15" s="24" t="str">
        <f>IF('PEDIDO COMERCIAL'!B48="","",'PEDIDO COMERCIAL'!B48)</f>
        <v>336</v>
      </c>
      <c r="C15" s="25" t="str">
        <f>IF('PEDIDO COMERCIAL'!C48="","",'PEDIDO COMERCIAL'!C48)</f>
        <v>VASO ROMA QUADRADO PRETO G 16,5L</v>
      </c>
      <c r="D15" s="12" t="e">
        <f>IF('PEDIDO COMERCIAL'!G48="","",'PEDIDO COMERCIAL'!G48)</f>
        <v>#VALUE!</v>
      </c>
      <c r="E15" s="26" t="s">
        <v>9</v>
      </c>
      <c r="F15" s="26" t="s">
        <v>9</v>
      </c>
      <c r="G15" s="26" t="s">
        <v>9</v>
      </c>
      <c r="H15" s="26" t="s">
        <v>9</v>
      </c>
      <c r="I15" s="26" t="s">
        <v>9</v>
      </c>
      <c r="J15" s="26" t="s">
        <v>9</v>
      </c>
      <c r="K15" s="26" t="s">
        <v>9</v>
      </c>
      <c r="L15" s="26" t="s">
        <v>9</v>
      </c>
      <c r="M15" s="26" t="s">
        <v>9</v>
      </c>
      <c r="N15" s="26" t="s">
        <v>9</v>
      </c>
      <c r="O15" s="26" t="s">
        <v>9</v>
      </c>
      <c r="P15" s="26" t="s">
        <v>9</v>
      </c>
      <c r="Q15" s="26" t="s">
        <v>9</v>
      </c>
      <c r="R15" s="26" t="s">
        <v>9</v>
      </c>
      <c r="S15" s="26" t="s">
        <v>9</v>
      </c>
      <c r="T15" s="26" t="s">
        <v>9</v>
      </c>
      <c r="U15" s="26" t="s">
        <v>9</v>
      </c>
      <c r="V15" s="26" t="s">
        <v>9</v>
      </c>
      <c r="W15" s="26" t="s">
        <v>9</v>
      </c>
      <c r="X15" s="26" t="s">
        <v>9</v>
      </c>
      <c r="Y15" s="26" t="s">
        <v>9</v>
      </c>
      <c r="Z15" s="24" t="e">
        <f t="shared" si="0"/>
        <v>#VALUE!</v>
      </c>
      <c r="AA15" s="12" t="e">
        <f t="shared" si="1"/>
        <v>#VALUE!</v>
      </c>
    </row>
    <row r="16" spans="1:27" ht="20" customHeight="1" x14ac:dyDescent="0.2">
      <c r="A16" s="14">
        <v>12</v>
      </c>
      <c r="B16" s="27" t="str">
        <f>IF('PEDIDO COMERCIAL'!B49="","",'PEDIDO COMERCIAL'!B49)</f>
        <v>366</v>
      </c>
      <c r="C16" s="28" t="str">
        <f>IF('PEDIDO COMERCIAL'!C49="","",'PEDIDO COMERCIAL'!C49)</f>
        <v>VASO ROMA QUADRADO PRETO G 10L</v>
      </c>
      <c r="D16" s="18" t="e">
        <f>IF('PEDIDO COMERCIAL'!G49="","",'PEDIDO COMERCIAL'!G49)</f>
        <v>#VALUE!</v>
      </c>
      <c r="E16" s="29" t="s">
        <v>9</v>
      </c>
      <c r="F16" s="29" t="s">
        <v>9</v>
      </c>
      <c r="G16" s="29" t="s">
        <v>9</v>
      </c>
      <c r="H16" s="29" t="s">
        <v>9</v>
      </c>
      <c r="I16" s="29" t="s">
        <v>9</v>
      </c>
      <c r="J16" s="29" t="s">
        <v>9</v>
      </c>
      <c r="K16" s="29" t="s">
        <v>9</v>
      </c>
      <c r="L16" s="29" t="s">
        <v>9</v>
      </c>
      <c r="M16" s="29" t="s">
        <v>9</v>
      </c>
      <c r="N16" s="29" t="s">
        <v>9</v>
      </c>
      <c r="O16" s="29" t="s">
        <v>9</v>
      </c>
      <c r="P16" s="29" t="s">
        <v>9</v>
      </c>
      <c r="Q16" s="29" t="s">
        <v>9</v>
      </c>
      <c r="R16" s="29" t="s">
        <v>9</v>
      </c>
      <c r="S16" s="29" t="s">
        <v>9</v>
      </c>
      <c r="T16" s="29" t="s">
        <v>9</v>
      </c>
      <c r="U16" s="29" t="s">
        <v>9</v>
      </c>
      <c r="V16" s="29" t="s">
        <v>9</v>
      </c>
      <c r="W16" s="29" t="s">
        <v>9</v>
      </c>
      <c r="X16" s="29" t="s">
        <v>9</v>
      </c>
      <c r="Y16" s="29" t="s">
        <v>9</v>
      </c>
      <c r="Z16" s="27" t="e">
        <f t="shared" si="0"/>
        <v>#VALUE!</v>
      </c>
      <c r="AA16" s="18" t="e">
        <f t="shared" si="1"/>
        <v>#VALUE!</v>
      </c>
    </row>
    <row r="17" spans="1:27" ht="20" customHeight="1" x14ac:dyDescent="0.2">
      <c r="A17" s="8">
        <v>13</v>
      </c>
      <c r="B17" s="24" t="str">
        <f>IF('PEDIDO COMERCIAL'!B50="","",'PEDIDO COMERCIAL'!B50)</f>
        <v>335</v>
      </c>
      <c r="C17" s="25" t="str">
        <f>IF('PEDIDO COMERCIAL'!C50="","",'PEDIDO COMERCIAL'!C50)</f>
        <v>VASO ROMA QUADRADO COLOR  G 16,5L</v>
      </c>
      <c r="D17" s="12" t="e">
        <f>IF('PEDIDO COMERCIAL'!G50="","",'PEDIDO COMERCIAL'!G50)</f>
        <v>#VALUE!</v>
      </c>
      <c r="E17" s="26" t="s">
        <v>9</v>
      </c>
      <c r="F17" s="26" t="s">
        <v>9</v>
      </c>
      <c r="G17" s="26" t="s">
        <v>9</v>
      </c>
      <c r="H17" s="26" t="s">
        <v>9</v>
      </c>
      <c r="I17" s="26" t="s">
        <v>9</v>
      </c>
      <c r="J17" s="26" t="s">
        <v>9</v>
      </c>
      <c r="K17" s="26" t="s">
        <v>9</v>
      </c>
      <c r="L17" s="26" t="s">
        <v>9</v>
      </c>
      <c r="M17" s="26" t="s">
        <v>9</v>
      </c>
      <c r="N17" s="26" t="s">
        <v>9</v>
      </c>
      <c r="O17" s="26" t="s">
        <v>9</v>
      </c>
      <c r="P17" s="26" t="s">
        <v>9</v>
      </c>
      <c r="Q17" s="26" t="s">
        <v>9</v>
      </c>
      <c r="R17" s="26" t="s">
        <v>9</v>
      </c>
      <c r="S17" s="26" t="s">
        <v>9</v>
      </c>
      <c r="T17" s="26" t="s">
        <v>9</v>
      </c>
      <c r="U17" s="26" t="s">
        <v>9</v>
      </c>
      <c r="V17" s="26" t="s">
        <v>9</v>
      </c>
      <c r="W17" s="26" t="s">
        <v>9</v>
      </c>
      <c r="X17" s="26" t="s">
        <v>9</v>
      </c>
      <c r="Y17" s="26" t="s">
        <v>9</v>
      </c>
      <c r="Z17" s="24" t="e">
        <f t="shared" si="0"/>
        <v>#VALUE!</v>
      </c>
      <c r="AA17" s="12" t="e">
        <f t="shared" si="1"/>
        <v>#VALUE!</v>
      </c>
    </row>
    <row r="18" spans="1:27" ht="20" customHeight="1" x14ac:dyDescent="0.2">
      <c r="A18" s="14">
        <v>14</v>
      </c>
      <c r="B18" s="27" t="str">
        <f>IF('PEDIDO COMERCIAL'!B51="","",'PEDIDO COMERCIAL'!B51)</f>
        <v>365</v>
      </c>
      <c r="C18" s="28" t="str">
        <f>IF('PEDIDO COMERCIAL'!C51="","",'PEDIDO COMERCIAL'!C51)</f>
        <v>VASO ROMA QUADRADO COLOR G 10L</v>
      </c>
      <c r="D18" s="18" t="e">
        <f>IF('PEDIDO COMERCIAL'!G51="","",'PEDIDO COMERCIAL'!G51)</f>
        <v>#VALUE!</v>
      </c>
      <c r="E18" s="29" t="s">
        <v>9</v>
      </c>
      <c r="F18" s="29" t="s">
        <v>9</v>
      </c>
      <c r="G18" s="29" t="s">
        <v>9</v>
      </c>
      <c r="H18" s="29" t="s">
        <v>9</v>
      </c>
      <c r="I18" s="29" t="s">
        <v>9</v>
      </c>
      <c r="J18" s="29" t="s">
        <v>9</v>
      </c>
      <c r="K18" s="29" t="s">
        <v>9</v>
      </c>
      <c r="L18" s="29" t="s">
        <v>9</v>
      </c>
      <c r="M18" s="29" t="s">
        <v>9</v>
      </c>
      <c r="N18" s="29" t="s">
        <v>9</v>
      </c>
      <c r="O18" s="29" t="s">
        <v>9</v>
      </c>
      <c r="P18" s="29" t="s">
        <v>9</v>
      </c>
      <c r="Q18" s="29" t="s">
        <v>9</v>
      </c>
      <c r="R18" s="29" t="s">
        <v>9</v>
      </c>
      <c r="S18" s="29" t="s">
        <v>9</v>
      </c>
      <c r="T18" s="29" t="s">
        <v>9</v>
      </c>
      <c r="U18" s="29" t="s">
        <v>9</v>
      </c>
      <c r="V18" s="29" t="s">
        <v>9</v>
      </c>
      <c r="W18" s="29" t="s">
        <v>9</v>
      </c>
      <c r="X18" s="29" t="s">
        <v>9</v>
      </c>
      <c r="Y18" s="29" t="s">
        <v>9</v>
      </c>
      <c r="Z18" s="27" t="e">
        <f t="shared" si="0"/>
        <v>#VALUE!</v>
      </c>
      <c r="AA18" s="18" t="e">
        <f t="shared" si="1"/>
        <v>#VALUE!</v>
      </c>
    </row>
    <row r="19" spans="1:27" ht="20" customHeight="1" x14ac:dyDescent="0.2">
      <c r="A19" s="8">
        <v>15</v>
      </c>
      <c r="B19" s="24" t="str">
        <f>IF('PEDIDO COMERCIAL'!B52="","",'PEDIDO COMERCIAL'!B52)</f>
        <v>378</v>
      </c>
      <c r="C19" s="25" t="str">
        <f>IF('PEDIDO COMERCIAL'!C52="","",'PEDIDO COMERCIAL'!C52)</f>
        <v>BALDE REFORÇADO DE PEDREIRO 12L</v>
      </c>
      <c r="D19" s="12" t="e">
        <f>IF('PEDIDO COMERCIAL'!G52="","",'PEDIDO COMERCIAL'!G52)</f>
        <v>#VALUE!</v>
      </c>
      <c r="E19" s="26" t="s">
        <v>9</v>
      </c>
      <c r="F19" s="26" t="s">
        <v>9</v>
      </c>
      <c r="G19" s="26" t="s">
        <v>9</v>
      </c>
      <c r="H19" s="26" t="s">
        <v>9</v>
      </c>
      <c r="I19" s="26" t="s">
        <v>9</v>
      </c>
      <c r="J19" s="26" t="s">
        <v>9</v>
      </c>
      <c r="K19" s="26" t="s">
        <v>9</v>
      </c>
      <c r="L19" s="26" t="s">
        <v>9</v>
      </c>
      <c r="M19" s="26" t="s">
        <v>9</v>
      </c>
      <c r="N19" s="26" t="s">
        <v>9</v>
      </c>
      <c r="O19" s="26" t="s">
        <v>9</v>
      </c>
      <c r="P19" s="26" t="s">
        <v>9</v>
      </c>
      <c r="Q19" s="26" t="s">
        <v>9</v>
      </c>
      <c r="R19" s="26" t="s">
        <v>9</v>
      </c>
      <c r="S19" s="26" t="s">
        <v>9</v>
      </c>
      <c r="T19" s="26" t="s">
        <v>9</v>
      </c>
      <c r="U19" s="26" t="s">
        <v>9</v>
      </c>
      <c r="V19" s="26" t="s">
        <v>9</v>
      </c>
      <c r="W19" s="26" t="s">
        <v>9</v>
      </c>
      <c r="X19" s="26" t="s">
        <v>9</v>
      </c>
      <c r="Y19" s="26" t="s">
        <v>9</v>
      </c>
      <c r="Z19" s="24" t="e">
        <f t="shared" si="0"/>
        <v>#VALUE!</v>
      </c>
      <c r="AA19" s="12" t="e">
        <f t="shared" si="1"/>
        <v>#VALUE!</v>
      </c>
    </row>
    <row r="20" spans="1:27" ht="20" customHeight="1" x14ac:dyDescent="0.2">
      <c r="A20" s="14">
        <v>16</v>
      </c>
      <c r="B20" s="27" t="str">
        <f>IF('PEDIDO COMERCIAL'!B53="","",'PEDIDO COMERCIAL'!B53)</f>
        <v>230</v>
      </c>
      <c r="C20" s="28" t="str">
        <f>IF('PEDIDO COMERCIAL'!C53="","",'PEDIDO COMERCIAL'!C53)</f>
        <v>CESTOMULTIUSO C/ TRAVA 60L</v>
      </c>
      <c r="D20" s="18" t="e">
        <f>IF('PEDIDO COMERCIAL'!G53="","",'PEDIDO COMERCIAL'!G53)</f>
        <v>#VALUE!</v>
      </c>
      <c r="E20" s="29" t="s">
        <v>9</v>
      </c>
      <c r="F20" s="29" t="s">
        <v>9</v>
      </c>
      <c r="G20" s="29" t="s">
        <v>9</v>
      </c>
      <c r="H20" s="29" t="s">
        <v>9</v>
      </c>
      <c r="I20" s="29" t="s">
        <v>9</v>
      </c>
      <c r="J20" s="29" t="s">
        <v>9</v>
      </c>
      <c r="K20" s="29" t="s">
        <v>9</v>
      </c>
      <c r="L20" s="29" t="s">
        <v>9</v>
      </c>
      <c r="M20" s="29" t="s">
        <v>9</v>
      </c>
      <c r="N20" s="29" t="s">
        <v>9</v>
      </c>
      <c r="O20" s="29" t="s">
        <v>9</v>
      </c>
      <c r="P20" s="29" t="s">
        <v>9</v>
      </c>
      <c r="Q20" s="29" t="s">
        <v>9</v>
      </c>
      <c r="R20" s="29" t="s">
        <v>9</v>
      </c>
      <c r="S20" s="29" t="s">
        <v>9</v>
      </c>
      <c r="T20" s="29" t="s">
        <v>9</v>
      </c>
      <c r="U20" s="29" t="s">
        <v>9</v>
      </c>
      <c r="V20" s="29" t="s">
        <v>9</v>
      </c>
      <c r="W20" s="29" t="s">
        <v>9</v>
      </c>
      <c r="X20" s="29" t="s">
        <v>9</v>
      </c>
      <c r="Y20" s="29" t="s">
        <v>9</v>
      </c>
      <c r="Z20" s="27" t="e">
        <f t="shared" si="0"/>
        <v>#VALUE!</v>
      </c>
      <c r="AA20" s="18" t="e">
        <f t="shared" si="1"/>
        <v>#VALUE!</v>
      </c>
    </row>
    <row r="21" spans="1:27" ht="20" customHeight="1" x14ac:dyDescent="0.2">
      <c r="A21" s="8">
        <v>17</v>
      </c>
      <c r="B21" s="24" t="str">
        <f>IF('PEDIDO COMERCIAL'!B54="","",'PEDIDO COMERCIAL'!B54)</f>
        <v>486</v>
      </c>
      <c r="C21" s="25" t="str">
        <f>IF('PEDIDO COMERCIAL'!C54="","",'PEDIDO COMERCIAL'!C54)</f>
        <v>KIT 10 POTES 300ML</v>
      </c>
      <c r="D21" s="12" t="e">
        <f>IF('PEDIDO COMERCIAL'!G54="","",'PEDIDO COMERCIAL'!G54)</f>
        <v>#VALUE!</v>
      </c>
      <c r="E21" s="26" t="s">
        <v>9</v>
      </c>
      <c r="F21" s="26" t="s">
        <v>9</v>
      </c>
      <c r="G21" s="26" t="s">
        <v>9</v>
      </c>
      <c r="H21" s="26" t="s">
        <v>9</v>
      </c>
      <c r="I21" s="26" t="s">
        <v>9</v>
      </c>
      <c r="J21" s="26" t="s">
        <v>9</v>
      </c>
      <c r="K21" s="26" t="s">
        <v>9</v>
      </c>
      <c r="L21" s="26" t="s">
        <v>9</v>
      </c>
      <c r="M21" s="26" t="s">
        <v>9</v>
      </c>
      <c r="N21" s="26" t="s">
        <v>9</v>
      </c>
      <c r="O21" s="26" t="s">
        <v>9</v>
      </c>
      <c r="P21" s="26" t="s">
        <v>9</v>
      </c>
      <c r="Q21" s="26" t="s">
        <v>9</v>
      </c>
      <c r="R21" s="26" t="s">
        <v>9</v>
      </c>
      <c r="S21" s="26" t="s">
        <v>9</v>
      </c>
      <c r="T21" s="26" t="s">
        <v>9</v>
      </c>
      <c r="U21" s="26" t="s">
        <v>9</v>
      </c>
      <c r="V21" s="26" t="s">
        <v>9</v>
      </c>
      <c r="W21" s="26" t="s">
        <v>9</v>
      </c>
      <c r="X21" s="26" t="s">
        <v>9</v>
      </c>
      <c r="Y21" s="26" t="s">
        <v>9</v>
      </c>
      <c r="Z21" s="24" t="e">
        <f t="shared" si="0"/>
        <v>#VALUE!</v>
      </c>
      <c r="AA21" s="12" t="e">
        <f t="shared" si="1"/>
        <v>#VALUE!</v>
      </c>
    </row>
    <row r="22" spans="1:27" ht="20" customHeight="1" x14ac:dyDescent="0.2">
      <c r="A22" s="14">
        <v>18</v>
      </c>
      <c r="B22" s="27" t="str">
        <f>IF('PEDIDO COMERCIAL'!B55="","",'PEDIDO COMERCIAL'!B55)</f>
        <v>485</v>
      </c>
      <c r="C22" s="28" t="str">
        <f>IF('PEDIDO COMERCIAL'!C55="","",'PEDIDO COMERCIAL'!C55)</f>
        <v>KIT 6 POTES 700ML</v>
      </c>
      <c r="D22" s="18" t="e">
        <f>IF('PEDIDO COMERCIAL'!G55="","",'PEDIDO COMERCIAL'!G55)</f>
        <v>#VALUE!</v>
      </c>
      <c r="E22" s="29" t="s">
        <v>9</v>
      </c>
      <c r="F22" s="29" t="s">
        <v>9</v>
      </c>
      <c r="G22" s="29" t="s">
        <v>9</v>
      </c>
      <c r="H22" s="29" t="s">
        <v>9</v>
      </c>
      <c r="I22" s="29" t="s">
        <v>9</v>
      </c>
      <c r="J22" s="29" t="s">
        <v>9</v>
      </c>
      <c r="K22" s="29" t="s">
        <v>9</v>
      </c>
      <c r="L22" s="29" t="s">
        <v>9</v>
      </c>
      <c r="M22" s="29" t="s">
        <v>9</v>
      </c>
      <c r="N22" s="29" t="s">
        <v>9</v>
      </c>
      <c r="O22" s="29" t="s">
        <v>9</v>
      </c>
      <c r="P22" s="29" t="s">
        <v>9</v>
      </c>
      <c r="Q22" s="29" t="s">
        <v>9</v>
      </c>
      <c r="R22" s="29" t="s">
        <v>9</v>
      </c>
      <c r="S22" s="29" t="s">
        <v>9</v>
      </c>
      <c r="T22" s="29" t="s">
        <v>9</v>
      </c>
      <c r="U22" s="29" t="s">
        <v>9</v>
      </c>
      <c r="V22" s="29" t="s">
        <v>9</v>
      </c>
      <c r="W22" s="29" t="s">
        <v>9</v>
      </c>
      <c r="X22" s="29" t="s">
        <v>9</v>
      </c>
      <c r="Y22" s="29" t="s">
        <v>9</v>
      </c>
      <c r="Z22" s="27" t="e">
        <f t="shared" si="0"/>
        <v>#VALUE!</v>
      </c>
      <c r="AA22" s="18" t="e">
        <f t="shared" si="1"/>
        <v>#VALUE!</v>
      </c>
    </row>
    <row r="23" spans="1:27" ht="20" customHeight="1" x14ac:dyDescent="0.2">
      <c r="A23" s="8">
        <v>19</v>
      </c>
      <c r="B23" s="24" t="str">
        <f>IF('PEDIDO COMERCIAL'!B56="","",'PEDIDO COMERCIAL'!B56)</f>
        <v>196</v>
      </c>
      <c r="C23" s="25" t="str">
        <f>IF('PEDIDO COMERCIAL'!C56="","",'PEDIDO COMERCIAL'!C56)</f>
        <v>KIT 4 POTES 1400ML</v>
      </c>
      <c r="D23" s="12" t="e">
        <f>IF('PEDIDO COMERCIAL'!G56="","",'PEDIDO COMERCIAL'!G56)</f>
        <v>#VALUE!</v>
      </c>
      <c r="E23" s="26" t="s">
        <v>9</v>
      </c>
      <c r="F23" s="26" t="s">
        <v>9</v>
      </c>
      <c r="G23" s="26" t="s">
        <v>9</v>
      </c>
      <c r="H23" s="26" t="s">
        <v>9</v>
      </c>
      <c r="I23" s="26" t="s">
        <v>9</v>
      </c>
      <c r="J23" s="26" t="s">
        <v>9</v>
      </c>
      <c r="K23" s="26" t="s">
        <v>9</v>
      </c>
      <c r="L23" s="26" t="s">
        <v>9</v>
      </c>
      <c r="M23" s="26" t="s">
        <v>9</v>
      </c>
      <c r="N23" s="26" t="s">
        <v>9</v>
      </c>
      <c r="O23" s="26" t="s">
        <v>9</v>
      </c>
      <c r="P23" s="26" t="s">
        <v>9</v>
      </c>
      <c r="Q23" s="26" t="s">
        <v>9</v>
      </c>
      <c r="R23" s="26" t="s">
        <v>9</v>
      </c>
      <c r="S23" s="26" t="s">
        <v>9</v>
      </c>
      <c r="T23" s="26" t="s">
        <v>9</v>
      </c>
      <c r="U23" s="26" t="s">
        <v>9</v>
      </c>
      <c r="V23" s="26" t="s">
        <v>9</v>
      </c>
      <c r="W23" s="26" t="s">
        <v>9</v>
      </c>
      <c r="X23" s="26" t="s">
        <v>9</v>
      </c>
      <c r="Y23" s="26" t="s">
        <v>9</v>
      </c>
      <c r="Z23" s="24" t="e">
        <f t="shared" si="0"/>
        <v>#VALUE!</v>
      </c>
      <c r="AA23" s="12" t="e">
        <f t="shared" si="1"/>
        <v>#VALUE!</v>
      </c>
    </row>
    <row r="24" spans="1:27" ht="20" customHeight="1" x14ac:dyDescent="0.2">
      <c r="A24" s="14">
        <v>20</v>
      </c>
      <c r="B24" s="27" t="str">
        <f>IF('PEDIDO COMERCIAL'!B57="","",'PEDIDO COMERCIAL'!B57)</f>
        <v>186</v>
      </c>
      <c r="C24" s="28" t="str">
        <f>IF('PEDIDO COMERCIAL'!C57="","",'PEDIDO COMERCIAL'!C57)</f>
        <v>KIT 2 SALADEIRAS 5L</v>
      </c>
      <c r="D24" s="18" t="e">
        <f>IF('PEDIDO COMERCIAL'!G57="","",'PEDIDO COMERCIAL'!G57)</f>
        <v>#VALUE!</v>
      </c>
      <c r="E24" s="29" t="s">
        <v>9</v>
      </c>
      <c r="F24" s="29" t="s">
        <v>9</v>
      </c>
      <c r="G24" s="29" t="s">
        <v>9</v>
      </c>
      <c r="H24" s="29" t="s">
        <v>9</v>
      </c>
      <c r="I24" s="29" t="s">
        <v>9</v>
      </c>
      <c r="J24" s="29" t="s">
        <v>9</v>
      </c>
      <c r="K24" s="29" t="s">
        <v>9</v>
      </c>
      <c r="L24" s="29" t="s">
        <v>9</v>
      </c>
      <c r="M24" s="29" t="s">
        <v>9</v>
      </c>
      <c r="N24" s="29" t="s">
        <v>9</v>
      </c>
      <c r="O24" s="29" t="s">
        <v>9</v>
      </c>
      <c r="P24" s="29" t="s">
        <v>9</v>
      </c>
      <c r="Q24" s="29" t="s">
        <v>9</v>
      </c>
      <c r="R24" s="29" t="s">
        <v>9</v>
      </c>
      <c r="S24" s="29" t="s">
        <v>9</v>
      </c>
      <c r="T24" s="29" t="s">
        <v>9</v>
      </c>
      <c r="U24" s="29" t="s">
        <v>9</v>
      </c>
      <c r="V24" s="29" t="s">
        <v>9</v>
      </c>
      <c r="W24" s="29" t="s">
        <v>9</v>
      </c>
      <c r="X24" s="29" t="s">
        <v>9</v>
      </c>
      <c r="Y24" s="29" t="s">
        <v>9</v>
      </c>
      <c r="Z24" s="27" t="e">
        <f t="shared" si="0"/>
        <v>#VALUE!</v>
      </c>
      <c r="AA24" s="18" t="e">
        <f t="shared" si="1"/>
        <v>#VALUE!</v>
      </c>
    </row>
    <row r="25" spans="1:27" ht="20" customHeight="1" x14ac:dyDescent="0.2">
      <c r="A25" s="8">
        <v>21</v>
      </c>
      <c r="B25" s="24" t="str">
        <f>IF('PEDIDO COMERCIAL'!B58="","",'PEDIDO COMERCIAL'!B58)</f>
        <v>528</v>
      </c>
      <c r="C25" s="25" t="str">
        <f>IF('PEDIDO COMERCIAL'!C58="","",'PEDIDO COMERCIAL'!C58)</f>
        <v>KIT 3 POTES RETANGULAR PRIME 3,3L</v>
      </c>
      <c r="D25" s="12" t="e">
        <f>IF('PEDIDO COMERCIAL'!G58="","",'PEDIDO COMERCIAL'!G58)</f>
        <v>#VALUE!</v>
      </c>
      <c r="E25" s="26" t="s">
        <v>9</v>
      </c>
      <c r="F25" s="26" t="s">
        <v>9</v>
      </c>
      <c r="G25" s="26" t="s">
        <v>9</v>
      </c>
      <c r="H25" s="26" t="s">
        <v>9</v>
      </c>
      <c r="I25" s="26" t="s">
        <v>9</v>
      </c>
      <c r="J25" s="26" t="s">
        <v>9</v>
      </c>
      <c r="K25" s="26" t="s">
        <v>9</v>
      </c>
      <c r="L25" s="26" t="s">
        <v>9</v>
      </c>
      <c r="M25" s="26" t="s">
        <v>9</v>
      </c>
      <c r="N25" s="26" t="s">
        <v>9</v>
      </c>
      <c r="O25" s="26" t="s">
        <v>9</v>
      </c>
      <c r="P25" s="26" t="s">
        <v>9</v>
      </c>
      <c r="Q25" s="26" t="s">
        <v>9</v>
      </c>
      <c r="R25" s="26" t="s">
        <v>9</v>
      </c>
      <c r="S25" s="26" t="s">
        <v>9</v>
      </c>
      <c r="T25" s="26" t="s">
        <v>9</v>
      </c>
      <c r="U25" s="26" t="s">
        <v>9</v>
      </c>
      <c r="V25" s="26" t="s">
        <v>9</v>
      </c>
      <c r="W25" s="26" t="s">
        <v>9</v>
      </c>
      <c r="X25" s="26" t="s">
        <v>9</v>
      </c>
      <c r="Y25" s="26" t="s">
        <v>9</v>
      </c>
      <c r="Z25" s="24" t="e">
        <f t="shared" si="0"/>
        <v>#VALUE!</v>
      </c>
      <c r="AA25" s="12" t="e">
        <f t="shared" si="1"/>
        <v>#VALUE!</v>
      </c>
    </row>
    <row r="26" spans="1:27" ht="20" customHeight="1" x14ac:dyDescent="0.2">
      <c r="A26" s="14">
        <v>22</v>
      </c>
      <c r="B26" s="27" t="str">
        <f>IF('PEDIDO COMERCIAL'!B59="","",'PEDIDO COMERCIAL'!B59)</f>
        <v>529</v>
      </c>
      <c r="C26" s="28" t="str">
        <f>IF('PEDIDO COMERCIAL'!C59="","",'PEDIDO COMERCIAL'!C59)</f>
        <v>KIT 2 POTES RETANGULAR PRIME 5,5L</v>
      </c>
      <c r="D26" s="18" t="e">
        <f>IF('PEDIDO COMERCIAL'!G59="","",'PEDIDO COMERCIAL'!G59)</f>
        <v>#VALUE!</v>
      </c>
      <c r="E26" s="29" t="s">
        <v>9</v>
      </c>
      <c r="F26" s="29" t="s">
        <v>9</v>
      </c>
      <c r="G26" s="29" t="s">
        <v>9</v>
      </c>
      <c r="H26" s="29" t="s">
        <v>9</v>
      </c>
      <c r="I26" s="29" t="s">
        <v>9</v>
      </c>
      <c r="J26" s="29" t="s">
        <v>9</v>
      </c>
      <c r="K26" s="29" t="s">
        <v>9</v>
      </c>
      <c r="L26" s="29" t="s">
        <v>9</v>
      </c>
      <c r="M26" s="29" t="s">
        <v>9</v>
      </c>
      <c r="N26" s="29" t="s">
        <v>9</v>
      </c>
      <c r="O26" s="29" t="s">
        <v>9</v>
      </c>
      <c r="P26" s="29" t="s">
        <v>9</v>
      </c>
      <c r="Q26" s="29" t="s">
        <v>9</v>
      </c>
      <c r="R26" s="29" t="s">
        <v>9</v>
      </c>
      <c r="S26" s="29" t="s">
        <v>9</v>
      </c>
      <c r="T26" s="29" t="s">
        <v>9</v>
      </c>
      <c r="U26" s="29" t="s">
        <v>9</v>
      </c>
      <c r="V26" s="29" t="s">
        <v>9</v>
      </c>
      <c r="W26" s="29" t="s">
        <v>9</v>
      </c>
      <c r="X26" s="29" t="s">
        <v>9</v>
      </c>
      <c r="Y26" s="29" t="s">
        <v>9</v>
      </c>
      <c r="Z26" s="27" t="e">
        <f t="shared" si="0"/>
        <v>#VALUE!</v>
      </c>
      <c r="AA26" s="18" t="e">
        <f t="shared" si="1"/>
        <v>#VALUE!</v>
      </c>
    </row>
    <row r="27" spans="1:27" ht="20" customHeight="1" x14ac:dyDescent="0.2">
      <c r="A27" s="8">
        <v>23</v>
      </c>
      <c r="B27" s="24" t="str">
        <f>IF('PEDIDO COMERCIAL'!B60="","",'PEDIDO COMERCIAL'!B60)</f>
        <v>508</v>
      </c>
      <c r="C27" s="25" t="str">
        <f>IF('PEDIDO COMERCIAL'!C60="","",'PEDIDO COMERCIAL'!C60)</f>
        <v>KIT 3 ORGANIZADOR MULTIUSO PRIME1,2,3L</v>
      </c>
      <c r="D27" s="12" t="e">
        <f>IF('PEDIDO COMERCIAL'!G60="","",'PEDIDO COMERCIAL'!G60)</f>
        <v>#VALUE!</v>
      </c>
      <c r="E27" s="26" t="s">
        <v>9</v>
      </c>
      <c r="F27" s="26" t="s">
        <v>9</v>
      </c>
      <c r="G27" s="26" t="s">
        <v>9</v>
      </c>
      <c r="H27" s="26" t="s">
        <v>9</v>
      </c>
      <c r="I27" s="26" t="s">
        <v>9</v>
      </c>
      <c r="J27" s="26" t="s">
        <v>9</v>
      </c>
      <c r="K27" s="26" t="s">
        <v>9</v>
      </c>
      <c r="L27" s="26" t="s">
        <v>9</v>
      </c>
      <c r="M27" s="26" t="s">
        <v>9</v>
      </c>
      <c r="N27" s="26" t="s">
        <v>9</v>
      </c>
      <c r="O27" s="26" t="s">
        <v>9</v>
      </c>
      <c r="P27" s="26" t="s">
        <v>9</v>
      </c>
      <c r="Q27" s="26" t="s">
        <v>9</v>
      </c>
      <c r="R27" s="26" t="s">
        <v>9</v>
      </c>
      <c r="S27" s="26" t="s">
        <v>9</v>
      </c>
      <c r="T27" s="26" t="s">
        <v>9</v>
      </c>
      <c r="U27" s="26" t="s">
        <v>9</v>
      </c>
      <c r="V27" s="26" t="s">
        <v>9</v>
      </c>
      <c r="W27" s="26" t="s">
        <v>9</v>
      </c>
      <c r="X27" s="26" t="s">
        <v>9</v>
      </c>
      <c r="Y27" s="26" t="s">
        <v>9</v>
      </c>
      <c r="Z27" s="24" t="e">
        <f t="shared" si="0"/>
        <v>#VALUE!</v>
      </c>
      <c r="AA27" s="12" t="e">
        <f t="shared" si="1"/>
        <v>#VALUE!</v>
      </c>
    </row>
    <row r="28" spans="1:27" ht="20" customHeight="1" x14ac:dyDescent="0.2">
      <c r="A28" s="14">
        <v>24</v>
      </c>
      <c r="B28" s="27" t="str">
        <f>IF('PEDIDO COMERCIAL'!B61="","",'PEDIDO COMERCIAL'!B61)</f>
        <v>509</v>
      </c>
      <c r="C28" s="28" t="str">
        <f>IF('PEDIDO COMERCIAL'!C61="","",'PEDIDO COMERCIAL'!C61)</f>
        <v>KIT 3 ORGANIZADOR MULTIUSO COLOR 1,2,3L</v>
      </c>
      <c r="D28" s="18" t="e">
        <f>IF('PEDIDO COMERCIAL'!G61="","",'PEDIDO COMERCIAL'!G61)</f>
        <v>#VALUE!</v>
      </c>
      <c r="E28" s="29" t="s">
        <v>9</v>
      </c>
      <c r="F28" s="29" t="s">
        <v>9</v>
      </c>
      <c r="G28" s="29" t="s">
        <v>9</v>
      </c>
      <c r="H28" s="29" t="s">
        <v>9</v>
      </c>
      <c r="I28" s="29" t="s">
        <v>9</v>
      </c>
      <c r="J28" s="29" t="s">
        <v>9</v>
      </c>
      <c r="K28" s="29" t="s">
        <v>9</v>
      </c>
      <c r="L28" s="29" t="s">
        <v>9</v>
      </c>
      <c r="M28" s="29" t="s">
        <v>9</v>
      </c>
      <c r="N28" s="29" t="s">
        <v>9</v>
      </c>
      <c r="O28" s="29" t="s">
        <v>9</v>
      </c>
      <c r="P28" s="29" t="s">
        <v>9</v>
      </c>
      <c r="Q28" s="29" t="s">
        <v>9</v>
      </c>
      <c r="R28" s="29" t="s">
        <v>9</v>
      </c>
      <c r="S28" s="29" t="s">
        <v>9</v>
      </c>
      <c r="T28" s="29" t="s">
        <v>9</v>
      </c>
      <c r="U28" s="29" t="s">
        <v>9</v>
      </c>
      <c r="V28" s="29" t="s">
        <v>9</v>
      </c>
      <c r="W28" s="29" t="s">
        <v>9</v>
      </c>
      <c r="X28" s="29" t="s">
        <v>9</v>
      </c>
      <c r="Y28" s="29" t="s">
        <v>9</v>
      </c>
      <c r="Z28" s="27" t="e">
        <f t="shared" si="0"/>
        <v>#VALUE!</v>
      </c>
      <c r="AA28" s="18" t="e">
        <f t="shared" si="1"/>
        <v>#VALUE!</v>
      </c>
    </row>
    <row r="29" spans="1:27" ht="20" customHeight="1" x14ac:dyDescent="0.2">
      <c r="A29" s="8">
        <v>25</v>
      </c>
      <c r="B29" s="24" t="str">
        <f>IF('PEDIDO COMERCIAL'!B62="","",'PEDIDO COMERCIAL'!B62)</f>
        <v>510</v>
      </c>
      <c r="C29" s="25" t="str">
        <f>IF('PEDIDO COMERCIAL'!C62="","",'PEDIDO COMERCIAL'!C62)</f>
        <v>KIT 3 ORGANIZADOR MULTIUSO TRANSP.1,2,3L</v>
      </c>
      <c r="D29" s="12" t="e">
        <f>IF('PEDIDO COMERCIAL'!G62="","",'PEDIDO COMERCIAL'!G62)</f>
        <v>#VALUE!</v>
      </c>
      <c r="E29" s="26" t="s">
        <v>9</v>
      </c>
      <c r="F29" s="26" t="s">
        <v>9</v>
      </c>
      <c r="G29" s="26" t="s">
        <v>9</v>
      </c>
      <c r="H29" s="26" t="s">
        <v>9</v>
      </c>
      <c r="I29" s="26" t="s">
        <v>9</v>
      </c>
      <c r="J29" s="26" t="s">
        <v>9</v>
      </c>
      <c r="K29" s="26" t="s">
        <v>9</v>
      </c>
      <c r="L29" s="26" t="s">
        <v>9</v>
      </c>
      <c r="M29" s="26" t="s">
        <v>9</v>
      </c>
      <c r="N29" s="26" t="s">
        <v>9</v>
      </c>
      <c r="O29" s="26" t="s">
        <v>9</v>
      </c>
      <c r="P29" s="26" t="s">
        <v>9</v>
      </c>
      <c r="Q29" s="26" t="s">
        <v>9</v>
      </c>
      <c r="R29" s="26" t="s">
        <v>9</v>
      </c>
      <c r="S29" s="26" t="s">
        <v>9</v>
      </c>
      <c r="T29" s="26" t="s">
        <v>9</v>
      </c>
      <c r="U29" s="26" t="s">
        <v>9</v>
      </c>
      <c r="V29" s="26" t="s">
        <v>9</v>
      </c>
      <c r="W29" s="26" t="s">
        <v>9</v>
      </c>
      <c r="X29" s="26" t="s">
        <v>9</v>
      </c>
      <c r="Y29" s="26" t="s">
        <v>9</v>
      </c>
      <c r="Z29" s="24" t="e">
        <f t="shared" si="0"/>
        <v>#VALUE!</v>
      </c>
      <c r="AA29" s="12" t="e">
        <f t="shared" si="1"/>
        <v>#VALUE!</v>
      </c>
    </row>
    <row r="30" spans="1:27" ht="20" customHeight="1" x14ac:dyDescent="0.2">
      <c r="A30" s="14">
        <v>26</v>
      </c>
      <c r="B30" s="27" t="str">
        <f>IF('PEDIDO COMERCIAL'!B63="","",'PEDIDO COMERCIAL'!B63)</f>
        <v>453</v>
      </c>
      <c r="C30" s="28" t="str">
        <f>IF('PEDIDO COMERCIAL'!C63="","",'PEDIDO COMERCIAL'!C63)</f>
        <v>CESTO TELADO RET. RATAN 45L</v>
      </c>
      <c r="D30" s="18" t="e">
        <f>IF('PEDIDO COMERCIAL'!G63="","",'PEDIDO COMERCIAL'!G63)</f>
        <v>#VALUE!</v>
      </c>
      <c r="E30" s="29" t="s">
        <v>9</v>
      </c>
      <c r="F30" s="29" t="s">
        <v>9</v>
      </c>
      <c r="G30" s="29" t="s">
        <v>9</v>
      </c>
      <c r="H30" s="29" t="s">
        <v>9</v>
      </c>
      <c r="I30" s="29" t="s">
        <v>9</v>
      </c>
      <c r="J30" s="29" t="s">
        <v>9</v>
      </c>
      <c r="K30" s="29" t="s">
        <v>9</v>
      </c>
      <c r="L30" s="29" t="s">
        <v>9</v>
      </c>
      <c r="M30" s="29" t="s">
        <v>9</v>
      </c>
      <c r="N30" s="29" t="s">
        <v>9</v>
      </c>
      <c r="O30" s="29" t="s">
        <v>9</v>
      </c>
      <c r="P30" s="29" t="s">
        <v>9</v>
      </c>
      <c r="Q30" s="29" t="s">
        <v>9</v>
      </c>
      <c r="R30" s="29" t="s">
        <v>9</v>
      </c>
      <c r="S30" s="29" t="s">
        <v>9</v>
      </c>
      <c r="T30" s="29" t="s">
        <v>9</v>
      </c>
      <c r="U30" s="29" t="s">
        <v>9</v>
      </c>
      <c r="V30" s="29" t="s">
        <v>9</v>
      </c>
      <c r="W30" s="29" t="s">
        <v>9</v>
      </c>
      <c r="X30" s="29" t="s">
        <v>9</v>
      </c>
      <c r="Y30" s="29" t="s">
        <v>9</v>
      </c>
      <c r="Z30" s="27" t="e">
        <f t="shared" si="0"/>
        <v>#VALUE!</v>
      </c>
      <c r="AA30" s="18" t="e">
        <f t="shared" si="1"/>
        <v>#VALUE!</v>
      </c>
    </row>
    <row r="31" spans="1:27" ht="20" customHeight="1" x14ac:dyDescent="0.2">
      <c r="A31" s="8">
        <v>27</v>
      </c>
      <c r="B31" s="24" t="str">
        <f>IF('PEDIDO COMERCIAL'!B64="","",'PEDIDO COMERCIAL'!B64)</f>
        <v/>
      </c>
      <c r="C31" s="25" t="str">
        <f>IF('PEDIDO COMERCIAL'!C64="","",'PEDIDO COMERCIAL'!C64)</f>
        <v/>
      </c>
      <c r="D31" s="12" t="e">
        <f>IF('PEDIDO COMERCIAL'!G64="","",'PEDIDO COMERCIAL'!G64)</f>
        <v>#VALUE!</v>
      </c>
      <c r="E31" s="26" t="s">
        <v>9</v>
      </c>
      <c r="F31" s="26" t="s">
        <v>9</v>
      </c>
      <c r="G31" s="26" t="s">
        <v>9</v>
      </c>
      <c r="H31" s="26" t="s">
        <v>9</v>
      </c>
      <c r="I31" s="26" t="s">
        <v>9</v>
      </c>
      <c r="J31" s="26" t="s">
        <v>9</v>
      </c>
      <c r="K31" s="26" t="s">
        <v>9</v>
      </c>
      <c r="L31" s="26" t="s">
        <v>9</v>
      </c>
      <c r="M31" s="26" t="s">
        <v>9</v>
      </c>
      <c r="N31" s="26" t="s">
        <v>9</v>
      </c>
      <c r="O31" s="26" t="s">
        <v>9</v>
      </c>
      <c r="P31" s="26" t="s">
        <v>9</v>
      </c>
      <c r="Q31" s="26" t="s">
        <v>9</v>
      </c>
      <c r="R31" s="26" t="s">
        <v>9</v>
      </c>
      <c r="S31" s="26" t="s">
        <v>9</v>
      </c>
      <c r="T31" s="26" t="s">
        <v>9</v>
      </c>
      <c r="U31" s="26" t="s">
        <v>9</v>
      </c>
      <c r="V31" s="26" t="s">
        <v>9</v>
      </c>
      <c r="W31" s="26" t="s">
        <v>9</v>
      </c>
      <c r="X31" s="26" t="s">
        <v>9</v>
      </c>
      <c r="Y31" s="26" t="s">
        <v>9</v>
      </c>
      <c r="Z31" s="24" t="e">
        <f t="shared" si="0"/>
        <v>#VALUE!</v>
      </c>
      <c r="AA31" s="12" t="e">
        <f t="shared" si="1"/>
        <v>#VALUE!</v>
      </c>
    </row>
    <row r="32" spans="1:27" ht="20" customHeight="1" x14ac:dyDescent="0.2">
      <c r="A32" s="14">
        <v>28</v>
      </c>
      <c r="B32" s="27" t="str">
        <f>IF('PEDIDO COMERCIAL'!B65="","",'PEDIDO COMERCIAL'!B65)</f>
        <v/>
      </c>
      <c r="C32" s="28" t="str">
        <f>IF('PEDIDO COMERCIAL'!C65="","",'PEDIDO COMERCIAL'!C65)</f>
        <v/>
      </c>
      <c r="D32" s="18" t="e">
        <f>IF('PEDIDO COMERCIAL'!G65="","",'PEDIDO COMERCIAL'!G65)</f>
        <v>#VALUE!</v>
      </c>
      <c r="E32" s="29" t="s">
        <v>9</v>
      </c>
      <c r="F32" s="29" t="s">
        <v>9</v>
      </c>
      <c r="G32" s="29" t="s">
        <v>9</v>
      </c>
      <c r="H32" s="29" t="s">
        <v>9</v>
      </c>
      <c r="I32" s="29" t="s">
        <v>9</v>
      </c>
      <c r="J32" s="29" t="s">
        <v>9</v>
      </c>
      <c r="K32" s="29" t="s">
        <v>9</v>
      </c>
      <c r="L32" s="29" t="s">
        <v>9</v>
      </c>
      <c r="M32" s="29" t="s">
        <v>9</v>
      </c>
      <c r="N32" s="29" t="s">
        <v>9</v>
      </c>
      <c r="O32" s="29" t="s">
        <v>9</v>
      </c>
      <c r="P32" s="29" t="s">
        <v>9</v>
      </c>
      <c r="Q32" s="29" t="s">
        <v>9</v>
      </c>
      <c r="R32" s="29" t="s">
        <v>9</v>
      </c>
      <c r="S32" s="29" t="s">
        <v>9</v>
      </c>
      <c r="T32" s="29" t="s">
        <v>9</v>
      </c>
      <c r="U32" s="29" t="s">
        <v>9</v>
      </c>
      <c r="V32" s="29" t="s">
        <v>9</v>
      </c>
      <c r="W32" s="29" t="s">
        <v>9</v>
      </c>
      <c r="X32" s="29" t="s">
        <v>9</v>
      </c>
      <c r="Y32" s="29" t="s">
        <v>9</v>
      </c>
      <c r="Z32" s="27" t="e">
        <f t="shared" si="0"/>
        <v>#VALUE!</v>
      </c>
      <c r="AA32" s="18" t="e">
        <f t="shared" si="1"/>
        <v>#VALUE!</v>
      </c>
    </row>
    <row r="33" spans="1:27" ht="20" customHeight="1" x14ac:dyDescent="0.2">
      <c r="A33" s="8">
        <v>29</v>
      </c>
      <c r="B33" s="24" t="str">
        <f>IF('PEDIDO COMERCIAL'!B66="","",'PEDIDO COMERCIAL'!B66)</f>
        <v/>
      </c>
      <c r="C33" s="25" t="str">
        <f>IF('PEDIDO COMERCIAL'!C66="","",'PEDIDO COMERCIAL'!C66)</f>
        <v/>
      </c>
      <c r="D33" s="12" t="e">
        <f>IF('PEDIDO COMERCIAL'!G66="","",'PEDIDO COMERCIAL'!G66)</f>
        <v>#VALUE!</v>
      </c>
      <c r="E33" s="26" t="s">
        <v>9</v>
      </c>
      <c r="F33" s="26" t="s">
        <v>9</v>
      </c>
      <c r="G33" s="26" t="s">
        <v>9</v>
      </c>
      <c r="H33" s="26" t="s">
        <v>9</v>
      </c>
      <c r="I33" s="26" t="s">
        <v>9</v>
      </c>
      <c r="J33" s="26" t="s">
        <v>9</v>
      </c>
      <c r="K33" s="26" t="s">
        <v>9</v>
      </c>
      <c r="L33" s="26" t="s">
        <v>9</v>
      </c>
      <c r="M33" s="26" t="s">
        <v>9</v>
      </c>
      <c r="N33" s="26" t="s">
        <v>9</v>
      </c>
      <c r="O33" s="26" t="s">
        <v>9</v>
      </c>
      <c r="P33" s="26" t="s">
        <v>9</v>
      </c>
      <c r="Q33" s="26" t="s">
        <v>9</v>
      </c>
      <c r="R33" s="26" t="s">
        <v>9</v>
      </c>
      <c r="S33" s="26" t="s">
        <v>9</v>
      </c>
      <c r="T33" s="26" t="s">
        <v>9</v>
      </c>
      <c r="U33" s="26" t="s">
        <v>9</v>
      </c>
      <c r="V33" s="26" t="s">
        <v>9</v>
      </c>
      <c r="W33" s="26" t="s">
        <v>9</v>
      </c>
      <c r="X33" s="26" t="s">
        <v>9</v>
      </c>
      <c r="Y33" s="26" t="s">
        <v>9</v>
      </c>
      <c r="Z33" s="24" t="e">
        <f t="shared" si="0"/>
        <v>#VALUE!</v>
      </c>
      <c r="AA33" s="12" t="e">
        <f t="shared" si="1"/>
        <v>#VALUE!</v>
      </c>
    </row>
    <row r="34" spans="1:27" ht="20" customHeight="1" x14ac:dyDescent="0.2">
      <c r="A34" s="14">
        <v>30</v>
      </c>
      <c r="B34" s="27" t="str">
        <f>IF('PEDIDO COMERCIAL'!B67="","",'PEDIDO COMERCIAL'!B67)</f>
        <v/>
      </c>
      <c r="C34" s="28" t="str">
        <f>IF('PEDIDO COMERCIAL'!C67="","",'PEDIDO COMERCIAL'!C67)</f>
        <v/>
      </c>
      <c r="D34" s="18" t="e">
        <f>IF('PEDIDO COMERCIAL'!G67="","",'PEDIDO COMERCIAL'!G67)</f>
        <v>#VALUE!</v>
      </c>
      <c r="E34" s="29" t="s">
        <v>9</v>
      </c>
      <c r="F34" s="29" t="s">
        <v>9</v>
      </c>
      <c r="G34" s="29" t="s">
        <v>9</v>
      </c>
      <c r="H34" s="29" t="s">
        <v>9</v>
      </c>
      <c r="I34" s="29" t="s">
        <v>9</v>
      </c>
      <c r="J34" s="29" t="s">
        <v>9</v>
      </c>
      <c r="K34" s="29" t="s">
        <v>9</v>
      </c>
      <c r="L34" s="29" t="s">
        <v>9</v>
      </c>
      <c r="M34" s="29" t="s">
        <v>9</v>
      </c>
      <c r="N34" s="29" t="s">
        <v>9</v>
      </c>
      <c r="O34" s="29" t="s">
        <v>9</v>
      </c>
      <c r="P34" s="29" t="s">
        <v>9</v>
      </c>
      <c r="Q34" s="29" t="s">
        <v>9</v>
      </c>
      <c r="R34" s="29" t="s">
        <v>9</v>
      </c>
      <c r="S34" s="29" t="s">
        <v>9</v>
      </c>
      <c r="T34" s="29" t="s">
        <v>9</v>
      </c>
      <c r="U34" s="29" t="s">
        <v>9</v>
      </c>
      <c r="V34" s="29" t="s">
        <v>9</v>
      </c>
      <c r="W34" s="29" t="s">
        <v>9</v>
      </c>
      <c r="X34" s="29" t="s">
        <v>9</v>
      </c>
      <c r="Y34" s="29" t="s">
        <v>9</v>
      </c>
      <c r="Z34" s="27" t="e">
        <f t="shared" si="0"/>
        <v>#VALUE!</v>
      </c>
      <c r="AA34" s="18" t="e">
        <f t="shared" si="1"/>
        <v>#VALUE!</v>
      </c>
    </row>
    <row r="35" spans="1:27" ht="24" customHeight="1" x14ac:dyDescent="0.2">
      <c r="A35" s="64" t="s">
        <v>84</v>
      </c>
      <c r="B35" s="64"/>
      <c r="C35" s="64"/>
      <c r="D35" s="30" t="e">
        <f t="shared" ref="D35:Z35" si="2">SUM(D5:D34)</f>
        <v>#VALUE!</v>
      </c>
      <c r="E35" s="31">
        <f t="shared" si="2"/>
        <v>0</v>
      </c>
      <c r="F35" s="31">
        <f t="shared" si="2"/>
        <v>0</v>
      </c>
      <c r="G35" s="31">
        <f t="shared" si="2"/>
        <v>0</v>
      </c>
      <c r="H35" s="31">
        <f t="shared" si="2"/>
        <v>0</v>
      </c>
      <c r="I35" s="31">
        <f t="shared" si="2"/>
        <v>0</v>
      </c>
      <c r="J35" s="31">
        <f t="shared" si="2"/>
        <v>0</v>
      </c>
      <c r="K35" s="31">
        <f t="shared" si="2"/>
        <v>0</v>
      </c>
      <c r="L35" s="31">
        <f t="shared" si="2"/>
        <v>0</v>
      </c>
      <c r="M35" s="31">
        <f t="shared" si="2"/>
        <v>0</v>
      </c>
      <c r="N35" s="31">
        <f t="shared" si="2"/>
        <v>0</v>
      </c>
      <c r="O35" s="31">
        <f t="shared" si="2"/>
        <v>0</v>
      </c>
      <c r="P35" s="31">
        <f t="shared" si="2"/>
        <v>0</v>
      </c>
      <c r="Q35" s="31">
        <f t="shared" si="2"/>
        <v>0</v>
      </c>
      <c r="R35" s="31">
        <f t="shared" si="2"/>
        <v>0</v>
      </c>
      <c r="S35" s="31">
        <f t="shared" si="2"/>
        <v>0</v>
      </c>
      <c r="T35" s="31">
        <f t="shared" si="2"/>
        <v>0</v>
      </c>
      <c r="U35" s="31">
        <f t="shared" si="2"/>
        <v>0</v>
      </c>
      <c r="V35" s="31">
        <f t="shared" si="2"/>
        <v>0</v>
      </c>
      <c r="W35" s="31">
        <f t="shared" si="2"/>
        <v>0</v>
      </c>
      <c r="X35" s="31">
        <f t="shared" si="2"/>
        <v>0</v>
      </c>
      <c r="Y35" s="31">
        <f t="shared" si="2"/>
        <v>0</v>
      </c>
      <c r="Z35" s="31" t="e">
        <f t="shared" si="2"/>
        <v>#VALUE!</v>
      </c>
      <c r="AA35" s="30" t="e">
        <f>IF(D35=0,"",IF(Z35=D35,"OK (100%)","DIVERGENTE"))</f>
        <v>#VALUE!</v>
      </c>
    </row>
  </sheetData>
  <mergeCells count="8">
    <mergeCell ref="A35:C35"/>
    <mergeCell ref="A1:AA1"/>
    <mergeCell ref="A2:AA2"/>
    <mergeCell ref="A3:D3"/>
    <mergeCell ref="F3:M3"/>
    <mergeCell ref="N3:U3"/>
    <mergeCell ref="V3:Y3"/>
    <mergeCell ref="Z3:AA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9"/>
  <sheetViews>
    <sheetView workbookViewId="0"/>
  </sheetViews>
  <sheetFormatPr baseColWidth="10" defaultColWidth="8.83203125" defaultRowHeight="15" x14ac:dyDescent="0.2"/>
  <cols>
    <col min="1" max="1" width="5" customWidth="1"/>
    <col min="2" max="2" width="28" customWidth="1"/>
    <col min="3" max="3" width="14" customWidth="1"/>
    <col min="4" max="4" width="16" customWidth="1"/>
    <col min="5" max="5" width="65" customWidth="1"/>
  </cols>
  <sheetData>
    <row r="2" spans="2:5" ht="24" customHeight="1" x14ac:dyDescent="0.2">
      <c r="B2" s="44" t="s">
        <v>85</v>
      </c>
      <c r="C2" s="44"/>
      <c r="D2" s="44"/>
      <c r="E2" s="44"/>
    </row>
    <row r="3" spans="2:5" ht="18" customHeight="1" x14ac:dyDescent="0.2">
      <c r="B3" s="59" t="s">
        <v>86</v>
      </c>
      <c r="C3" s="59"/>
      <c r="D3" s="59"/>
      <c r="E3" s="59"/>
    </row>
    <row r="5" spans="2:5" ht="22" customHeight="1" x14ac:dyDescent="0.2">
      <c r="B5" s="32" t="s">
        <v>87</v>
      </c>
      <c r="C5" s="32" t="s">
        <v>88</v>
      </c>
      <c r="D5" s="32" t="s">
        <v>89</v>
      </c>
      <c r="E5" s="32" t="s">
        <v>90</v>
      </c>
    </row>
    <row r="6" spans="2:5" ht="20" customHeight="1" x14ac:dyDescent="0.2">
      <c r="B6" s="33" t="s">
        <v>91</v>
      </c>
      <c r="C6" s="34" t="s">
        <v>92</v>
      </c>
      <c r="D6" s="35" t="s">
        <v>93</v>
      </c>
      <c r="E6" s="36" t="s">
        <v>94</v>
      </c>
    </row>
    <row r="7" spans="2:5" ht="20" customHeight="1" x14ac:dyDescent="0.2">
      <c r="B7" s="37" t="s">
        <v>95</v>
      </c>
      <c r="C7" s="38" t="s">
        <v>96</v>
      </c>
      <c r="D7" s="39" t="s">
        <v>97</v>
      </c>
      <c r="E7" s="40" t="s">
        <v>98</v>
      </c>
    </row>
    <row r="8" spans="2:5" ht="20" customHeight="1" x14ac:dyDescent="0.2">
      <c r="B8" s="33" t="s">
        <v>99</v>
      </c>
      <c r="C8" s="41" t="s">
        <v>96</v>
      </c>
      <c r="D8" s="35" t="s">
        <v>100</v>
      </c>
      <c r="E8" s="36" t="s">
        <v>101</v>
      </c>
    </row>
    <row r="9" spans="2:5" ht="20" customHeight="1" x14ac:dyDescent="0.2">
      <c r="B9" s="37" t="s">
        <v>102</v>
      </c>
      <c r="C9" s="42" t="s">
        <v>92</v>
      </c>
      <c r="D9" s="39" t="s">
        <v>103</v>
      </c>
      <c r="E9" s="40" t="s">
        <v>104</v>
      </c>
    </row>
    <row r="10" spans="2:5" ht="20" customHeight="1" x14ac:dyDescent="0.2">
      <c r="B10" s="33" t="s">
        <v>105</v>
      </c>
      <c r="C10" s="34" t="s">
        <v>92</v>
      </c>
      <c r="D10" s="35" t="s">
        <v>106</v>
      </c>
      <c r="E10" s="36" t="s">
        <v>107</v>
      </c>
    </row>
    <row r="11" spans="2:5" ht="20" customHeight="1" x14ac:dyDescent="0.2">
      <c r="B11" s="37" t="s">
        <v>108</v>
      </c>
      <c r="C11" s="38" t="s">
        <v>109</v>
      </c>
      <c r="D11" s="39" t="s">
        <v>110</v>
      </c>
      <c r="E11" s="40" t="s">
        <v>111</v>
      </c>
    </row>
    <row r="12" spans="2:5" ht="20" customHeight="1" x14ac:dyDescent="0.2">
      <c r="B12" s="33" t="s">
        <v>37</v>
      </c>
      <c r="C12" s="34" t="s">
        <v>92</v>
      </c>
      <c r="D12" s="35" t="s">
        <v>112</v>
      </c>
      <c r="E12" s="36" t="s">
        <v>113</v>
      </c>
    </row>
    <row r="13" spans="2:5" ht="20" customHeight="1" x14ac:dyDescent="0.2">
      <c r="B13" s="37" t="s">
        <v>38</v>
      </c>
      <c r="C13" s="42" t="s">
        <v>92</v>
      </c>
      <c r="D13" s="39" t="s">
        <v>114</v>
      </c>
      <c r="E13" s="40" t="s">
        <v>115</v>
      </c>
    </row>
    <row r="14" spans="2:5" ht="20" customHeight="1" x14ac:dyDescent="0.2">
      <c r="B14" s="33" t="s">
        <v>39</v>
      </c>
      <c r="C14" s="34" t="s">
        <v>92</v>
      </c>
      <c r="D14" s="35" t="s">
        <v>116</v>
      </c>
      <c r="E14" s="36" t="s">
        <v>117</v>
      </c>
    </row>
    <row r="15" spans="2:5" ht="20" customHeight="1" x14ac:dyDescent="0.2">
      <c r="B15" s="37" t="s">
        <v>118</v>
      </c>
      <c r="C15" s="42" t="s">
        <v>92</v>
      </c>
      <c r="D15" s="39" t="s">
        <v>119</v>
      </c>
      <c r="E15" s="40" t="s">
        <v>120</v>
      </c>
    </row>
    <row r="16" spans="2:5" ht="20" customHeight="1" x14ac:dyDescent="0.2">
      <c r="B16" s="33" t="s">
        <v>121</v>
      </c>
      <c r="C16" s="34" t="s">
        <v>92</v>
      </c>
      <c r="D16" s="35" t="s">
        <v>119</v>
      </c>
      <c r="E16" s="36" t="s">
        <v>122</v>
      </c>
    </row>
    <row r="17" spans="2:5" ht="20" customHeight="1" x14ac:dyDescent="0.2">
      <c r="B17" s="37" t="s">
        <v>42</v>
      </c>
      <c r="C17" s="43" t="s">
        <v>123</v>
      </c>
      <c r="D17" s="39" t="s">
        <v>124</v>
      </c>
      <c r="E17" s="40" t="s">
        <v>125</v>
      </c>
    </row>
    <row r="18" spans="2:5" ht="20" customHeight="1" x14ac:dyDescent="0.2">
      <c r="B18" s="33" t="s">
        <v>43</v>
      </c>
      <c r="C18" s="34" t="s">
        <v>92</v>
      </c>
      <c r="D18" s="35" t="s">
        <v>126</v>
      </c>
      <c r="E18" s="36" t="s">
        <v>127</v>
      </c>
    </row>
    <row r="19" spans="2:5" ht="20" customHeight="1" x14ac:dyDescent="0.2">
      <c r="B19" s="37" t="s">
        <v>128</v>
      </c>
      <c r="C19" s="38" t="s">
        <v>109</v>
      </c>
      <c r="D19" s="39" t="s">
        <v>129</v>
      </c>
      <c r="E19" s="40" t="s">
        <v>130</v>
      </c>
    </row>
  </sheetData>
  <mergeCells count="2">
    <mergeCell ref="B2:E2"/>
    <mergeCell ref="B3:E3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0"/>
  <sheetViews>
    <sheetView workbookViewId="0"/>
  </sheetViews>
  <sheetFormatPr baseColWidth="10" defaultColWidth="8.83203125" defaultRowHeight="15" x14ac:dyDescent="0.2"/>
  <cols>
    <col min="1" max="1" width="5" customWidth="1"/>
    <col min="2" max="2" width="30" customWidth="1"/>
    <col min="3" max="3" width="14" customWidth="1"/>
    <col min="4" max="4" width="60" customWidth="1"/>
  </cols>
  <sheetData>
    <row r="2" spans="2:4" ht="24" customHeight="1" x14ac:dyDescent="0.2">
      <c r="B2" s="44" t="s">
        <v>131</v>
      </c>
      <c r="C2" s="44"/>
      <c r="D2" s="44"/>
    </row>
    <row r="4" spans="2:4" ht="22" customHeight="1" x14ac:dyDescent="0.2">
      <c r="B4" s="32" t="s">
        <v>132</v>
      </c>
      <c r="C4" s="32" t="s">
        <v>133</v>
      </c>
      <c r="D4" s="32" t="s">
        <v>134</v>
      </c>
    </row>
    <row r="5" spans="2:4" ht="20" customHeight="1" x14ac:dyDescent="0.2">
      <c r="B5" s="33" t="s">
        <v>135</v>
      </c>
      <c r="C5" s="12" t="s">
        <v>136</v>
      </c>
      <c r="D5" s="36" t="s">
        <v>137</v>
      </c>
    </row>
    <row r="6" spans="2:4" ht="20" customHeight="1" x14ac:dyDescent="0.2">
      <c r="B6" s="37" t="s">
        <v>138</v>
      </c>
      <c r="C6" s="18" t="s">
        <v>139</v>
      </c>
      <c r="D6" s="40" t="s">
        <v>140</v>
      </c>
    </row>
    <row r="7" spans="2:4" ht="20" customHeight="1" x14ac:dyDescent="0.2">
      <c r="B7" s="33" t="s">
        <v>141</v>
      </c>
      <c r="C7" s="12" t="s">
        <v>142</v>
      </c>
      <c r="D7" s="36" t="s">
        <v>143</v>
      </c>
    </row>
    <row r="8" spans="2:4" ht="20" customHeight="1" x14ac:dyDescent="0.2">
      <c r="B8" s="37" t="s">
        <v>144</v>
      </c>
      <c r="C8" s="18" t="s">
        <v>145</v>
      </c>
      <c r="D8" s="40" t="s">
        <v>146</v>
      </c>
    </row>
    <row r="9" spans="2:4" ht="20" customHeight="1" x14ac:dyDescent="0.2">
      <c r="B9" s="33" t="s">
        <v>147</v>
      </c>
      <c r="C9" s="12" t="s">
        <v>148</v>
      </c>
      <c r="D9" s="36" t="s">
        <v>149</v>
      </c>
    </row>
    <row r="10" spans="2:4" ht="20" customHeight="1" x14ac:dyDescent="0.2">
      <c r="B10" s="37" t="s">
        <v>150</v>
      </c>
      <c r="C10" s="18" t="s">
        <v>148</v>
      </c>
      <c r="D10" s="40" t="s">
        <v>151</v>
      </c>
    </row>
  </sheetData>
  <mergeCells count="1">
    <mergeCell ref="B2:D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PEDIDO COMERCIAL</vt:lpstr>
      <vt:lpstr>SEPARACAO POR LOJA</vt:lpstr>
      <vt:lpstr>INSTRUCOES DE PREENCHIMENTO</vt:lpstr>
      <vt:lpstr>PARAMETROS FISCAIS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2026-09-15T13:11:18Z</dcterms:created>
  <dcterms:modified xsi:type="dcterms:W3CDTF">2026-09-16T20:42:55Z</dcterms:modified>
  <cp:category/>
</cp:coreProperties>
</file>
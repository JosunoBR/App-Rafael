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DIDO COMERCIAL" state="visible" r:id="rId4"/>
    <sheet sheetId="2" name="SEPARACAO POR LOJA" state="visible" r:id="rId5"/>
    <sheet sheetId="3" name="INSTRUCOES DE PREENCHIMENTO" state="visible" r:id="rId6"/>
    <sheet sheetId="4" name="PARAMETROS FISCAIS" state="visible" r:id="rId7"/>
  </sheets>
  <calcPr calcId="171027"/>
</workbook>
</file>

<file path=xl/sharedStrings.xml><?xml version="1.0" encoding="utf-8"?>
<sst xmlns="http://schemas.openxmlformats.org/spreadsheetml/2006/main" count="244" uniqueCount="196">
  <si>
    <t>REDE MEGA 12 • PLANILHA MODELO DE IMPORTAÇÃO DE PEDIDOS</t>
  </si>
  <si>
    <t>MODELO OFICIAL V2.0</t>
  </si>
  <si>
    <t>ALS 10 BAZAR E BRINQUEDOS LTDA  •  ESTRUTURA INTELIGENTE ANTI-ERRO</t>
  </si>
  <si>
    <t>Uso: Compras e Fornecedores</t>
  </si>
  <si>
    <t>ℹ️ INSTRUÇÕES: Preencha os Dados do Fornecedor, Condições e Produtos. A coluna TOTAL PEÇAS calcula automaticamente (= QTD/CX × QTD CX).</t>
  </si>
  <si>
    <t>1. DADOS DA EMPRESA COMPRADORA (DESTINATÁRIO - MEGA 12):</t>
  </si>
  <si>
    <t>2. DADOS DO FORNECEDOR &amp; VENDEDOR (PREENCHA SEUS DADOS):</t>
  </si>
  <si>
    <t>Razão Social:</t>
  </si>
  <si>
    <t>ALS 10 BAZAR E BRINQUEDOS LTDA</t>
  </si>
  <si>
    <t>FORNECEDOR EXEMPLO BRASIL LTDA</t>
  </si>
  <si>
    <t>CNPJ / IE:</t>
  </si>
  <si>
    <t>37.144.240/0001-70    IE: 90847822-35</t>
  </si>
  <si>
    <t>CNPJ:</t>
  </si>
  <si>
    <t>12.345.678/0001-90</t>
  </si>
  <si>
    <t>End. Entrega:</t>
  </si>
  <si>
    <t>Av. José Galiciolli, 152 – BR153 – Centro – Irati – PR (CEP: 84500-009)</t>
  </si>
  <si>
    <t>Vendedor:</t>
  </si>
  <si>
    <t>Carlos Eduardo</t>
  </si>
  <si>
    <t>Boletos / XML:</t>
  </si>
  <si>
    <t>als.conecta@gmail.com</t>
  </si>
  <si>
    <t>WhatsApp / Fone:</t>
  </si>
  <si>
    <t>(41) 99888-7766</t>
  </si>
  <si>
    <t>Compras:</t>
  </si>
  <si>
    <t>Rafael (55) 9 9659-6315  |  Bruna (55) 9 3618-5609</t>
  </si>
  <si>
    <t>E-mail Vendas:</t>
  </si>
  <si>
    <t>vendas@fornecedorexemplo.com.br</t>
  </si>
  <si>
    <t>3. CONDIÇÕES COMERCIAIS, PRAZOS &amp; FRETE:</t>
  </si>
  <si>
    <t>Nº Pedido:</t>
  </si>
  <si>
    <t>PED-FORNEC-001</t>
  </si>
  <si>
    <t>Data Pedido:</t>
  </si>
  <si>
    <t>14/09/2026</t>
  </si>
  <si>
    <t>Entrega:</t>
  </si>
  <si>
    <t>30/09/2026</t>
  </si>
  <si>
    <t>Tipo Frete:</t>
  </si>
  <si>
    <t>CIF</t>
  </si>
  <si>
    <t>Cond. Pag.:</t>
  </si>
  <si>
    <t>30/60/90 Dias</t>
  </si>
  <si>
    <t>% OFF:</t>
  </si>
  <si>
    <t>0%</t>
  </si>
  <si>
    <t>% Nota:</t>
  </si>
  <si>
    <t>100%</t>
  </si>
  <si>
    <t>Observações:</t>
  </si>
  <si>
    <t>Agendar descarregamento com antecedência. Entrega no CD Irati - Paletizado padrão PBR.</t>
  </si>
  <si>
    <t>#</t>
  </si>
  <si>
    <t>CÓDIGO FORNECEDOR</t>
  </si>
  <si>
    <t>CÓDIGO INTERNO (PRD)</t>
  </si>
  <si>
    <t>CÓDIGO BARRAS (EAN-13)</t>
  </si>
  <si>
    <t>DESCRIÇÃO DO PRODUTO</t>
  </si>
  <si>
    <t>NCM</t>
  </si>
  <si>
    <t>UNID.</t>
  </si>
  <si>
    <t>QTD/CX</t>
  </si>
  <si>
    <t>QTD CX</t>
  </si>
  <si>
    <t>TOTAL PEÇAS</t>
  </si>
  <si>
    <t>PREÇO UNIT. (R$)</t>
  </si>
  <si>
    <t>652</t>
  </si>
  <si>
    <t>PRD-001</t>
  </si>
  <si>
    <t>7891234560012</t>
  </si>
  <si>
    <t>INCENSARIO MOTIVACIONAL EM MADEIRA 25CM</t>
  </si>
  <si>
    <t>4421.99.00</t>
  </si>
  <si>
    <t>CX</t>
  </si>
  <si>
    <t>653</t>
  </si>
  <si>
    <t>PRD-002</t>
  </si>
  <si>
    <t>7891234560029</t>
  </si>
  <si>
    <t>KIT PETISQUEIRA QUADRADA BAMBU COM 3 DIVISORIAS</t>
  </si>
  <si>
    <t>4419.19.00</t>
  </si>
  <si>
    <t>654</t>
  </si>
  <si>
    <t>PRD-003</t>
  </si>
  <si>
    <t>7891234560036</t>
  </si>
  <si>
    <t>KIT PETISQUEIRA RETANGULAR 4 DIVISORIAS</t>
  </si>
  <si>
    <t>656</t>
  </si>
  <si>
    <t>PRD-004</t>
  </si>
  <si>
    <t>7891234560043</t>
  </si>
  <si>
    <t>PORTA TEMPERO TABUA GIRATORIA C/ 5 POTES VIDRO</t>
  </si>
  <si>
    <t>7013.49.00</t>
  </si>
  <si>
    <t>657</t>
  </si>
  <si>
    <t/>
  </si>
  <si>
    <t>7891234560050</t>
  </si>
  <si>
    <t>QUADRO MINHAS COMPRAS MAGNETICO 11X30CM C/ CANETA</t>
  </si>
  <si>
    <t>4911.99.00</t>
  </si>
  <si>
    <t>UN</t>
  </si>
  <si>
    <t>TOTAIS CONSOLIDADOS DO PEDIDO:</t>
  </si>
  <si>
    <t>REGRAS MANDATÓRIAS DE RECEBIMENTO &amp; FATURAMENTO (REDE MEGA 12 - CD IRATI):</t>
  </si>
  <si>
    <t>1. Boletos NÃO devem exceder o valor de R$ 9.999,00 por título.</t>
  </si>
  <si>
    <t>2. Boletos e arquivo XML da Nota Fiscal devem ser enviados obrigatoriamente para: als.conecta@gmail.com.</t>
  </si>
  <si>
    <t>3. Descarregamento no local de entrega sob responsabilidade integral do fornecedor / transportadora.</t>
  </si>
  <si>
    <t>4. Agendar previamente a data de descarregamento no WhatsApp da Logística: (42) 9 9136-5009 (Roberta).</t>
  </si>
  <si>
    <t>5. As quantidades recebidas serão conferidas por bipagem e inspeção de avarias; divergências serão debitadas do pagamento.</t>
  </si>
  <si>
    <t>REDE MEGA 12 • GRADE DE SEPARAÇÃO E DISTRIBUIÇÃO DAS 20 LOJAS</t>
  </si>
  <si>
    <t>Distribuição por filial em Unidades (UN). As quantidades alocadas devem bater exatamente com o total comprado do item.</t>
  </si>
  <si>
    <t>DADOS DO ITEM COMPRADO</t>
  </si>
  <si>
    <t>CD</t>
  </si>
  <si>
    <t>CLUSTER A (8 LOJAS PRINCIPAIS - MAIOR VOLUME)</t>
  </si>
  <si>
    <t>CLUSTER B (8 LOJAS MÉDIAS)</t>
  </si>
  <si>
    <t>CLUSTER C (4 LOJAS COMPACTAS)</t>
  </si>
  <si>
    <t>AUDITORIA DA GRADE</t>
  </si>
  <si>
    <t>CÓDIGO FORNEC.</t>
  </si>
  <si>
    <t>CÓDIGO INTERNO</t>
  </si>
  <si>
    <t>TOTAL PEDIDO</t>
  </si>
  <si>
    <t>RESERVA CD</t>
  </si>
  <si>
    <t>PONTA GROSSA CENTRO</t>
  </si>
  <si>
    <t>RESERVA</t>
  </si>
  <si>
    <t>TIBAGI</t>
  </si>
  <si>
    <t>NOVA RÚSSIA</t>
  </si>
  <si>
    <t>JAVERT</t>
  </si>
  <si>
    <t>IVAÍ</t>
  </si>
  <si>
    <t>IRATI CENTRO</t>
  </si>
  <si>
    <t>CAMPO LARGO</t>
  </si>
  <si>
    <t>CASTRO</t>
  </si>
  <si>
    <t>IMBITUVA</t>
  </si>
  <si>
    <t>SANTA PAULA</t>
  </si>
  <si>
    <t>PRUDENTÓPOLIS</t>
  </si>
  <si>
    <t>GUARAPUAVA</t>
  </si>
  <si>
    <t>IMBAÚ</t>
  </si>
  <si>
    <t>RIO AZUL</t>
  </si>
  <si>
    <t>REBOUÇAS</t>
  </si>
  <si>
    <t>DEPÓSITO CENTRAL</t>
  </si>
  <si>
    <t>TEIXEIRA SOARES</t>
  </si>
  <si>
    <t>MALLET</t>
  </si>
  <si>
    <t>IPIRANGA</t>
  </si>
  <si>
    <t>TOTAL ALOCADO</t>
  </si>
  <si>
    <t>CONFERÊNCIA</t>
  </si>
  <si>
    <t>GUIA OFICIAL DE PREENCHIMENTO DA PLANILHA (REDE MEGA 12)</t>
  </si>
  <si>
    <t>Siga as orientações abaixo para garantir 100% de sucesso na importação e geração da proposta comercial.</t>
  </si>
  <si>
    <t>CAMPO / COLUNA</t>
  </si>
  <si>
    <t>OBRIGATÓRIO?</t>
  </si>
  <si>
    <t>TIPO / FORMATO</t>
  </si>
  <si>
    <t>COMO PREENCHER &amp; ORIENTAÇÕES</t>
  </si>
  <si>
    <t>Fornecedor / Razão Social</t>
  </si>
  <si>
    <t>SIM</t>
  </si>
  <si>
    <t>Texto</t>
  </si>
  <si>
    <t>Nome oficial ou razão social da empresa fornecedora. O sistema vincula automaticamente com o cadastro interno.</t>
  </si>
  <si>
    <t>CNPJ do Fornecedor</t>
  </si>
  <si>
    <t>RECOMENDADO</t>
  </si>
  <si>
    <t>00.000.000/0001-00</t>
  </si>
  <si>
    <t>Identificador fiscal único para garantir o vínculo sem duplicidades.</t>
  </si>
  <si>
    <t>Vendedor &amp; Contatos</t>
  </si>
  <si>
    <t>Texto / Telefone</t>
  </si>
  <si>
    <t>Nome do representante e telefone/WhatsApp para constar no espelho oficial do pedido.</t>
  </si>
  <si>
    <t>Tipo de Frete</t>
  </si>
  <si>
    <t>CIF / FOB / Retira</t>
  </si>
  <si>
    <t>CIF: Por conta do fornecedor. FOB: Frete a cobrar/pago pela Mega 12. Retira: Retirada no local.</t>
  </si>
  <si>
    <t>Condição de Pagamento</t>
  </si>
  <si>
    <t>Texto / Prazos</t>
  </si>
  <si>
    <t>Exemplos: 30/60/90 Dias, Boleto 30 Dias, À Vista. O sistema gera automaticamente o fluxo de duplicatas financeiras.</t>
  </si>
  <si>
    <t>% OFF / Desconto Comercial</t>
  </si>
  <si>
    <t>OPCIONAL</t>
  </si>
  <si>
    <t>Percentual (%)</t>
  </si>
  <si>
    <t>Percentual de desconto comercial negociado sobre o pedido (ex: 0%, 5%, 10%). O sistema registra no cabeçalho e preserva os preços unitários líquidos da grade.</t>
  </si>
  <si>
    <t>% NOTA FISCAL</t>
  </si>
  <si>
    <t>Percentual do valor faturado oficialmente em Nota Fiscal (padrão: 100%). Usado para controle fiscal e histórico.</t>
  </si>
  <si>
    <t>Texto ou Número</t>
  </si>
  <si>
    <t>Referência do item de acordo com a tabela do fornecedor (ex: 652, REF-1020).</t>
  </si>
  <si>
    <t>PRD-XXXX</t>
  </si>
  <si>
    <t>Se o item já estiver cadastrado no catálogo Mega 12, informe aqui. Se estiver em branco, o sistema cria um novo código automaticamente.</t>
  </si>
  <si>
    <t>13 dígitos</t>
  </si>
  <si>
    <t>Código GTIN/EAN-13 da embalagem ou unidade. Essencial para conferência rápida por coletor de doca.</t>
  </si>
  <si>
    <t>Texto Completo</t>
  </si>
  <si>
    <t>Nome claro do produto, material, dimensões ou modelo.</t>
  </si>
  <si>
    <t>8 dígitos</t>
  </si>
  <si>
    <t>Nomenclatura Comum do Mercosul para classificação fiscal.</t>
  </si>
  <si>
    <t>UN / CX / PCT / PAR / JG</t>
  </si>
  <si>
    <t>Unidade de medida. Usado no cálculo de conversão e apontamento de avarias de doca.</t>
  </si>
  <si>
    <t>QTD/CX (Embalagem)</t>
  </si>
  <si>
    <t>Número Inteiro</t>
  </si>
  <si>
    <t>Quantas unidades vêm dentro de cada caixa master ou pacote fechado. (Padrão: 1).</t>
  </si>
  <si>
    <t>QTD CX (Caixas Solicitadas)</t>
  </si>
  <si>
    <t>Quantidade de caixas ou fardos comprados.</t>
  </si>
  <si>
    <t>AUTOMÁTICO</t>
  </si>
  <si>
    <t>Fórmula</t>
  </si>
  <si>
    <t>Calculado automaticamente (= QTD/CX × QTD CX).</t>
  </si>
  <si>
    <t>Moeda (R$)</t>
  </si>
  <si>
    <t>Preço unitário líquido de compra da peça negociado com o fornecedor.</t>
  </si>
  <si>
    <t>Aba SEPARAÇÃO POR LOJA</t>
  </si>
  <si>
    <t>Grade por Filial</t>
  </si>
  <si>
    <t>Se preenchida, o sistema importa as quantidades exatas por filial. Se deixada em branco, o sistema calcula a divisão automática ideal pelos clusters A/B/C.</t>
  </si>
  <si>
    <t>PARÂMETROS FISCAIS DE REFERÊNCIA (REDE MEGA 12 - PARANÁ)</t>
  </si>
  <si>
    <t>PARÂMETRO TRIBUTÁRIO</t>
  </si>
  <si>
    <t>ALÍQUOTA</t>
  </si>
  <si>
    <t>DESCRIÇÃO E APLICAÇÃO</t>
  </si>
  <si>
    <t>ICMS Entrada (Crédito)</t>
  </si>
  <si>
    <t>12.0%</t>
  </si>
  <si>
    <t>Crédito tributário abatido do custo do produto na entrada estadual</t>
  </si>
  <si>
    <t>Custos Fixos Operacionais</t>
  </si>
  <si>
    <t>26.0%</t>
  </si>
  <si>
    <t>Percentual operacional incidente sobre o PDV nas lojas físicas</t>
  </si>
  <si>
    <t>ICMS Saída (Alíquota PR)</t>
  </si>
  <si>
    <t>19.5%</t>
  </si>
  <si>
    <t>Alíquota de ICMS sobre a venda final no Estado do Paraná</t>
  </si>
  <si>
    <t>PIS / COFINS / IR</t>
  </si>
  <si>
    <t>6.0%</t>
  </si>
  <si>
    <t>Impostos federais incidentes sobre o faturamento de saída</t>
  </si>
  <si>
    <t>IPI Padrão</t>
  </si>
  <si>
    <t>0.0%</t>
  </si>
  <si>
    <t>Imposto sobre Produtos Industrializados (quando aplicável por NCM)</t>
  </si>
  <si>
    <t>ST (Substituição Tributária)</t>
  </si>
  <si>
    <t>ICMS-ST destacado por fornecedor (quando aplicável)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</si>
</sst>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R$ #,##0.00"/>
  </numFmts>
  <fonts count="26" x14ac:knownFonts="1">
    <font>
      <color theme="1"/>
      <family val="2"/>
      <scheme val="minor"/>
      <sz val="11"/>
      <name val="Calibri"/>
    </font>
    <font>
      <b/>
      <color rgb="FFFFFFFF"/>
      <sz val="12"/>
      <name val="Segoe UI"/>
    </font>
    <font>
      <b/>
      <color rgb="FFFFFFFF"/>
      <sz val="9.5"/>
      <name val="Segoe UI"/>
    </font>
    <font>
      <b/>
      <color rgb="FF6EE7B7"/>
      <sz val="8.5"/>
      <name val="Segoe UI"/>
    </font>
    <font>
      <color rgb="FFE2E8F0"/>
      <sz val="8"/>
      <name val="Segoe UI"/>
    </font>
    <font>
      <b/>
      <color rgb="FF92400E"/>
      <sz val="8.5"/>
      <name val="Segoe UI"/>
    </font>
    <font>
      <b/>
      <color rgb="FFFFFFFF"/>
      <sz val="8"/>
      <name val="Segoe UI"/>
    </font>
    <font>
      <b/>
      <color rgb="FF475569"/>
      <sz val="8"/>
      <name val="Segoe UI"/>
    </font>
    <font>
      <b/>
      <color rgb="FF1E293B"/>
      <sz val="8"/>
      <name val="Segoe UI"/>
    </font>
    <font>
      <b/>
      <color rgb="FF0F172A"/>
      <sz val="8"/>
      <name val="Segoe UI"/>
    </font>
    <font>
      <color rgb="FF1E293B"/>
      <sz val="8"/>
      <name val="Segoe UI"/>
    </font>
    <font>
      <b/>
      <color rgb="FF059669"/>
      <sz val="8"/>
      <name val="Segoe UI"/>
    </font>
    <font>
      <i/>
      <color rgb="FF1E293B"/>
      <sz val="8"/>
      <name val="Segoe UI"/>
    </font>
    <font>
      <b/>
      <color rgb="FFFFFFFF"/>
      <sz val="8.5"/>
      <name val="Segoe UI"/>
    </font>
    <font>
      <color rgb="FF475569"/>
      <sz val="8.5"/>
      <name val="Segoe UI"/>
    </font>
    <font>
      <b/>
      <color rgb="FF0F172A"/>
      <sz val="8.5"/>
      <name val="Segoe UI"/>
    </font>
    <font>
      <b/>
      <color rgb="FF059669"/>
      <sz val="8.5"/>
      <name val="Segoe UI"/>
    </font>
    <font>
      <color rgb="FF1E293B"/>
      <sz val="8.5"/>
      <name val="Segoe UI"/>
    </font>
    <font>
      <b/>
      <color rgb="FF1E293B"/>
      <sz val="8.5"/>
      <name val="Segoe UI"/>
    </font>
    <font>
      <color rgb="FF059669"/>
      <sz val="8.5"/>
      <name val="Segoe UI"/>
    </font>
    <font>
      <color rgb="FF94A3B8"/>
      <sz val="8.5"/>
      <name val="Segoe UI"/>
    </font>
    <font>
      <b/>
      <color rgb="FF064E3B"/>
      <sz val="9"/>
      <name val="Segoe UI"/>
    </font>
    <font>
      <b/>
      <color rgb="FF991B1B"/>
      <sz val="8.5"/>
      <name val="Segoe UI"/>
    </font>
    <font>
      <color rgb="FFD1FAE5"/>
      <sz val="8.5"/>
      <name val="Segoe UI"/>
    </font>
    <font>
      <b/>
      <sz val="8.5"/>
      <name val="Segoe UI"/>
    </font>
    <font>
      <b/>
      <color rgb="FF0284C7"/>
      <sz val="8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059669"/>
      </patternFill>
    </fill>
    <fill>
      <patternFill patternType="solid">
        <fgColor rgb="FF1E293B"/>
      </patternFill>
    </fill>
    <fill>
      <patternFill patternType="solid">
        <fgColor rgb="FFFEF3C7"/>
      </patternFill>
    </fill>
    <fill>
      <patternFill patternType="solid">
        <fgColor rgb="FFF8FAFC"/>
      </patternFill>
    </fill>
    <fill>
      <patternFill patternType="solid">
        <fgColor rgb="FFECFDF5"/>
      </patternFill>
    </fill>
    <fill>
      <patternFill patternType="solid">
        <fgColor rgb="FFFFFFFF"/>
      </patternFill>
    </fill>
    <fill>
      <patternFill patternType="solid">
        <fgColor rgb="FFD1FAE5"/>
      </patternFill>
    </fill>
    <fill>
      <patternFill patternType="solid">
        <fgColor rgb="FFFEF2F2"/>
      </patternFill>
    </fill>
    <fill>
      <patternFill patternType="solid">
        <fgColor rgb="FF334155"/>
      </patternFill>
    </fill>
    <fill>
      <patternFill patternType="solid">
        <fgColor rgb="FF0D9488"/>
      </patternFill>
    </fill>
    <fill>
      <patternFill patternType="solid">
        <fgColor rgb="FF0284C7"/>
      </patternFill>
    </fill>
  </fills>
  <borders count="8">
    <border>
      <left/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A7F3D0"/>
      </left>
      <right style="thin">
        <color rgb="FFA7F3D0"/>
      </right>
      <top style="medium">
        <color rgb="FF059669"/>
      </top>
      <bottom style="medium">
        <color rgb="FF059669"/>
      </bottom>
      <diagonal/>
    </border>
    <border>
      <left style="thin">
        <color rgb="FFEF4444"/>
      </left>
      <right style="thin">
        <color rgb="FFEF4444"/>
      </right>
      <top style="thin">
        <color rgb="FFEF4444"/>
      </top>
      <bottom style="thin">
        <color rgb="FFEF4444"/>
      </bottom>
      <diagonal/>
    </border>
    <border>
      <left style="thin">
        <color rgb="FFEF4444"/>
      </left>
      <right style="thin">
        <color rgb="FFEF4444"/>
      </right>
      <top/>
      <bottom/>
      <diagonal/>
    </border>
    <border>
      <left style="thin">
        <color rgb="FFEF4444"/>
      </left>
      <right style="thin">
        <color rgb="FFEF4444"/>
      </right>
      <top/>
      <bottom style="thin">
        <color rgb="FFEF444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 indent="1"/>
    </xf>
    <xf numFmtId="0" fontId="4" fillId="4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left" vertical="center" indent="1"/>
    </xf>
    <xf numFmtId="0" fontId="7" fillId="6" borderId="2" xfId="0" applyFont="1" applyFill="1" applyBorder="1" applyAlignment="1">
      <alignment horizontal="left" vertical="center" indent="1"/>
    </xf>
    <xf numFmtId="0" fontId="8" fillId="6" borderId="2" xfId="0" applyFont="1" applyFill="1" applyBorder="1" applyAlignment="1">
      <alignment horizontal="left" vertical="center"/>
    </xf>
    <xf numFmtId="0" fontId="7" fillId="7" borderId="2" xfId="0" applyFont="1" applyFill="1" applyBorder="1" applyAlignment="1">
      <alignment horizontal="left" vertical="center" indent="1"/>
    </xf>
    <xf numFmtId="0" fontId="9" fillId="8" borderId="2" xfId="0" applyFont="1" applyFill="1" applyBorder="1" applyAlignment="1">
      <alignment horizontal="left" vertical="center" indent="1"/>
    </xf>
    <xf numFmtId="0" fontId="10" fillId="6" borderId="2" xfId="0" applyFont="1" applyFill="1" applyBorder="1" applyAlignment="1">
      <alignment horizontal="left" vertical="center"/>
    </xf>
    <xf numFmtId="0" fontId="6" fillId="3" borderId="0" xfId="0" applyFont="1" applyFill="1" applyAlignment="1">
      <alignment horizontal="left" vertical="center" indent="1"/>
    </xf>
    <xf numFmtId="0" fontId="7" fillId="6" borderId="2" xfId="0" applyFont="1" applyFill="1" applyBorder="1"/>
    <xf numFmtId="0" fontId="9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 indent="1"/>
    </xf>
    <xf numFmtId="0" fontId="13" fillId="2" borderId="3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left" vertical="center" indent="1"/>
    </xf>
    <xf numFmtId="0" fontId="13" fillId="2" borderId="3" xfId="0" applyFont="1" applyFill="1" applyBorder="1" applyAlignment="1">
      <alignment horizontal="right" vertical="center"/>
    </xf>
    <xf numFmtId="0" fontId="14" fillId="8" borderId="2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horizontal="center" vertical="center"/>
    </xf>
    <xf numFmtId="0" fontId="18" fillId="8" borderId="2" xfId="0" applyFont="1" applyFill="1" applyBorder="1" applyAlignment="1">
      <alignment horizontal="left" vertical="center" indent="1"/>
    </xf>
    <xf numFmtId="164" fontId="15" fillId="8" borderId="2" xfId="0" applyNumberFormat="1" applyFont="1" applyFill="1" applyBorder="1" applyAlignment="1">
      <alignment horizontal="right" vertical="center"/>
    </xf>
    <xf numFmtId="0" fontId="14" fillId="6" borderId="2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18" fillId="6" borderId="2" xfId="0" applyFont="1" applyFill="1" applyBorder="1" applyAlignment="1">
      <alignment horizontal="left" vertical="center" indent="1"/>
    </xf>
    <xf numFmtId="164" fontId="15" fillId="6" borderId="2" xfId="0" applyNumberFormat="1" applyFont="1" applyFill="1" applyBorder="1" applyAlignment="1">
      <alignment horizontal="right" vertical="center"/>
    </xf>
    <xf numFmtId="0" fontId="19" fillId="8" borderId="2" xfId="0" applyFont="1" applyFill="1" applyBorder="1" applyAlignment="1">
      <alignment horizontal="center" vertical="center"/>
    </xf>
    <xf numFmtId="0" fontId="20" fillId="6" borderId="2" xfId="0" applyFont="1" applyFill="1" applyBorder="1" applyAlignment="1">
      <alignment horizontal="center" vertical="center"/>
    </xf>
    <xf numFmtId="0" fontId="0" fillId="6" borderId="2" xfId="0" applyFill="1" applyBorder="1"/>
    <xf numFmtId="164" fontId="0" fillId="6" borderId="2" xfId="0" applyNumberFormat="1" applyFill="1" applyBorder="1" applyAlignment="1">
      <alignment horizontal="right" vertical="center"/>
    </xf>
    <xf numFmtId="0" fontId="20" fillId="8" borderId="2" xfId="0" applyFont="1" applyFill="1" applyBorder="1" applyAlignment="1">
      <alignment horizontal="center" vertical="center"/>
    </xf>
    <xf numFmtId="0" fontId="0" fillId="8" borderId="2" xfId="0" applyFill="1" applyBorder="1"/>
    <xf numFmtId="164" fontId="0" fillId="8" borderId="2" xfId="0" applyNumberFormat="1" applyFill="1" applyBorder="1" applyAlignment="1">
      <alignment horizontal="right" vertical="center"/>
    </xf>
    <xf numFmtId="0" fontId="21" fillId="9" borderId="4" xfId="0" applyFont="1" applyFill="1" applyBorder="1" applyAlignment="1">
      <alignment horizontal="left" vertical="center" indent="1"/>
    </xf>
    <xf numFmtId="0" fontId="21" fillId="9" borderId="4" xfId="0" applyFont="1" applyFill="1" applyBorder="1" applyAlignment="1">
      <alignment horizontal="center" vertical="center"/>
    </xf>
    <xf numFmtId="0" fontId="0" fillId="9" borderId="4" xfId="0" applyFill="1" applyBorder="1"/>
    <xf numFmtId="0" fontId="22" fillId="10" borderId="5" xfId="0" applyFont="1" applyFill="1" applyBorder="1" applyAlignment="1">
      <alignment horizontal="left" vertical="center" indent="1"/>
    </xf>
    <xf numFmtId="0" fontId="10" fillId="10" borderId="6" xfId="0" applyFont="1" applyFill="1" applyBorder="1" applyAlignment="1">
      <alignment horizontal="left" vertical="center" indent="1"/>
    </xf>
    <xf numFmtId="0" fontId="10" fillId="10" borderId="7" xfId="0" applyFont="1" applyFill="1" applyBorder="1" applyAlignment="1">
      <alignment horizontal="left" vertical="center" indent="1"/>
    </xf>
    <xf numFmtId="0" fontId="23" fillId="4" borderId="0" xfId="0" applyFont="1" applyFill="1" applyAlignment="1">
      <alignment horizontal="left" vertical="center" indent="1"/>
    </xf>
    <xf numFmtId="0" fontId="6" fillId="4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12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24" fillId="8" borderId="2" xfId="0" applyFont="1" applyFill="1" applyBorder="1" applyAlignment="1">
      <alignment horizontal="center" vertical="center"/>
    </xf>
    <xf numFmtId="0" fontId="24" fillId="8" borderId="2" xfId="0" applyFont="1" applyFill="1" applyBorder="1" applyAlignment="1">
      <alignment horizontal="left" vertical="center" indent="1"/>
    </xf>
    <xf numFmtId="0" fontId="0" fillId="6" borderId="2" xfId="0" applyFill="1" applyBorder="1" applyAlignment="1">
      <alignment horizontal="center" vertical="center"/>
    </xf>
    <xf numFmtId="0" fontId="24" fillId="6" borderId="2" xfId="0" applyFont="1" applyFill="1" applyBorder="1" applyAlignment="1">
      <alignment horizontal="center" vertical="center"/>
    </xf>
    <xf numFmtId="0" fontId="24" fillId="6" borderId="2" xfId="0" applyFont="1" applyFill="1" applyBorder="1" applyAlignment="1">
      <alignment horizontal="left" vertical="center" indent="1"/>
    </xf>
    <xf numFmtId="0" fontId="13" fillId="3" borderId="0" xfId="0" applyFont="1" applyFill="1" applyAlignment="1">
      <alignment horizontal="center" vertical="center"/>
    </xf>
    <xf numFmtId="0" fontId="18" fillId="8" borderId="2" xfId="0" applyFont="1" applyFill="1" applyBorder="1"/>
    <xf numFmtId="0" fontId="11" fillId="8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left" vertical="center" indent="1"/>
    </xf>
    <xf numFmtId="0" fontId="18" fillId="6" borderId="2" xfId="0" applyFont="1" applyFill="1" applyBorder="1"/>
    <xf numFmtId="0" fontId="7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left" vertical="center" indent="1"/>
    </xf>
    <xf numFmtId="0" fontId="7" fillId="8" borderId="2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25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workbookViewId="0"/>
  </sheetViews>
  <sheetFormatPr defaultRowHeight="15" outlineLevelRow="0" outlineLevelCol="0" x14ac:dyDescent="55"/>
  <cols>
    <col min="1" max="1" width="6" customWidth="1"/>
    <col min="2" max="3" width="18" customWidth="1"/>
    <col min="4" max="4" width="20" customWidth="1"/>
    <col min="5" max="5" width="44" customWidth="1"/>
    <col min="6" max="6" width="13" customWidth="1"/>
    <col min="8" max="8" width="11" customWidth="1"/>
    <col min="9" max="9" width="12" customWidth="1"/>
    <col min="10" max="10" width="15" customWidth="1"/>
    <col min="11" max="11" width="18" customWidth="1"/>
  </cols>
  <sheetData>
    <row r="1" ht="24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2" t="s">
        <v>1</v>
      </c>
      <c r="J1" s="2"/>
      <c r="K1" s="2"/>
    </row>
    <row r="2" ht="18" customHeight="1" spans="1:11" x14ac:dyDescent="0.25">
      <c r="A2" s="3" t="s">
        <v>2</v>
      </c>
      <c r="B2" s="3"/>
      <c r="C2" s="3"/>
      <c r="D2" s="3"/>
      <c r="E2" s="3"/>
      <c r="F2" s="3"/>
      <c r="G2" s="3"/>
      <c r="H2" s="3"/>
      <c r="I2" s="4" t="s">
        <v>3</v>
      </c>
      <c r="J2" s="4"/>
      <c r="K2" s="4"/>
    </row>
    <row r="3" ht="20" customHeight="1" spans="1:11" x14ac:dyDescent="0.25">
      <c r="A3" s="5" t="s">
        <v>4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ht="6" customHeight="1" x14ac:dyDescent="0.25"/>
    <row r="5" ht="20" customHeight="1" spans="1:11" x14ac:dyDescent="0.25">
      <c r="A5" s="6" t="s">
        <v>5</v>
      </c>
      <c r="B5" s="6"/>
      <c r="C5" s="6"/>
      <c r="D5" s="6"/>
      <c r="E5" s="6"/>
      <c r="F5" s="6" t="s">
        <v>6</v>
      </c>
      <c r="G5" s="6"/>
      <c r="H5" s="6"/>
      <c r="I5" s="6"/>
      <c r="J5" s="6"/>
      <c r="K5" s="6"/>
    </row>
    <row r="6" ht="19" customHeight="1" spans="1:11" x14ac:dyDescent="0.25">
      <c r="A6" s="7" t="s">
        <v>7</v>
      </c>
      <c r="B6" s="8" t="s">
        <v>8</v>
      </c>
      <c r="C6" s="8"/>
      <c r="D6" s="8"/>
      <c r="E6" s="8"/>
      <c r="F6" s="9" t="s">
        <v>7</v>
      </c>
      <c r="G6" s="10" t="s">
        <v>9</v>
      </c>
      <c r="H6" s="10"/>
      <c r="I6" s="10"/>
      <c r="J6" s="10"/>
      <c r="K6" s="10"/>
    </row>
    <row r="7" ht="19" customHeight="1" spans="1:11" x14ac:dyDescent="0.25">
      <c r="A7" s="7" t="s">
        <v>10</v>
      </c>
      <c r="B7" s="11" t="s">
        <v>11</v>
      </c>
      <c r="C7" s="11"/>
      <c r="D7" s="11"/>
      <c r="E7" s="11"/>
      <c r="F7" s="9" t="s">
        <v>12</v>
      </c>
      <c r="G7" s="10" t="s">
        <v>13</v>
      </c>
      <c r="H7" s="10"/>
      <c r="I7" s="10"/>
      <c r="J7" s="10"/>
      <c r="K7" s="10"/>
    </row>
    <row r="8" ht="19" customHeight="1" spans="1:11" x14ac:dyDescent="0.25">
      <c r="A8" s="7" t="s">
        <v>14</v>
      </c>
      <c r="B8" s="8" t="s">
        <v>15</v>
      </c>
      <c r="C8" s="8"/>
      <c r="D8" s="8"/>
      <c r="E8" s="8"/>
      <c r="F8" s="9" t="s">
        <v>16</v>
      </c>
      <c r="G8" s="10" t="s">
        <v>17</v>
      </c>
      <c r="H8" s="10"/>
      <c r="I8" s="10"/>
      <c r="J8" s="10"/>
      <c r="K8" s="10"/>
    </row>
    <row r="9" ht="19" customHeight="1" spans="1:11" x14ac:dyDescent="0.25">
      <c r="A9" s="7" t="s">
        <v>18</v>
      </c>
      <c r="B9" s="8" t="s">
        <v>19</v>
      </c>
      <c r="C9" s="8"/>
      <c r="D9" s="8"/>
      <c r="E9" s="8"/>
      <c r="F9" s="9" t="s">
        <v>20</v>
      </c>
      <c r="G9" s="10" t="s">
        <v>21</v>
      </c>
      <c r="H9" s="10"/>
      <c r="I9" s="10"/>
      <c r="J9" s="10"/>
      <c r="K9" s="10"/>
    </row>
    <row r="10" ht="19" customHeight="1" spans="1:11" x14ac:dyDescent="0.25">
      <c r="A10" s="7" t="s">
        <v>22</v>
      </c>
      <c r="B10" s="11" t="s">
        <v>23</v>
      </c>
      <c r="C10" s="11"/>
      <c r="D10" s="11"/>
      <c r="E10" s="11"/>
      <c r="F10" s="9" t="s">
        <v>24</v>
      </c>
      <c r="G10" s="10" t="s">
        <v>25</v>
      </c>
      <c r="H10" s="10"/>
      <c r="I10" s="10"/>
      <c r="J10" s="10"/>
      <c r="K10" s="10"/>
    </row>
    <row r="11" ht="6" customHeight="1" x14ac:dyDescent="0.25"/>
    <row r="12" ht="19" customHeight="1" spans="1:11" x14ac:dyDescent="0.25">
      <c r="A12" s="12" t="s">
        <v>26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</row>
    <row r="13" ht="19" customHeight="1" spans="1:11" x14ac:dyDescent="0.25">
      <c r="A13" s="13" t="s">
        <v>27</v>
      </c>
      <c r="B13" s="14" t="s">
        <v>28</v>
      </c>
      <c r="C13" s="13" t="s">
        <v>29</v>
      </c>
      <c r="D13" s="14" t="s">
        <v>30</v>
      </c>
      <c r="E13" s="13" t="s">
        <v>31</v>
      </c>
      <c r="F13" s="14" t="s">
        <v>32</v>
      </c>
      <c r="G13" s="13" t="s">
        <v>33</v>
      </c>
      <c r="H13" s="15" t="s">
        <v>34</v>
      </c>
      <c r="I13" s="13" t="s">
        <v>35</v>
      </c>
      <c r="J13" s="14" t="s">
        <v>36</v>
      </c>
      <c r="K13" s="14"/>
    </row>
    <row r="14" ht="19" customHeight="1" spans="1:11" x14ac:dyDescent="0.25">
      <c r="A14" s="13" t="s">
        <v>37</v>
      </c>
      <c r="B14" s="15" t="s">
        <v>38</v>
      </c>
      <c r="C14" s="13" t="s">
        <v>39</v>
      </c>
      <c r="D14" s="14" t="s">
        <v>40</v>
      </c>
      <c r="E14" s="13" t="s">
        <v>41</v>
      </c>
      <c r="F14" s="16" t="s">
        <v>42</v>
      </c>
      <c r="G14" s="16"/>
      <c r="H14" s="16"/>
      <c r="I14" s="16"/>
      <c r="J14" s="16"/>
      <c r="K14" s="16"/>
    </row>
    <row r="15" ht="10" customHeight="1" x14ac:dyDescent="0.25"/>
    <row r="16" ht="25" customHeight="1" spans="1:11" x14ac:dyDescent="0.25">
      <c r="A16" s="17" t="s">
        <v>43</v>
      </c>
      <c r="B16" s="17" t="s">
        <v>44</v>
      </c>
      <c r="C16" s="17" t="s">
        <v>45</v>
      </c>
      <c r="D16" s="17" t="s">
        <v>46</v>
      </c>
      <c r="E16" s="18" t="s">
        <v>47</v>
      </c>
      <c r="F16" s="17" t="s">
        <v>48</v>
      </c>
      <c r="G16" s="17" t="s">
        <v>49</v>
      </c>
      <c r="H16" s="17" t="s">
        <v>50</v>
      </c>
      <c r="I16" s="17" t="s">
        <v>51</v>
      </c>
      <c r="J16" s="17" t="s">
        <v>52</v>
      </c>
      <c r="K16" s="19" t="s">
        <v>53</v>
      </c>
    </row>
    <row r="17" ht="20" customHeight="1" spans="1:11" x14ac:dyDescent="0.25">
      <c r="A17" s="20">
        <v>1</v>
      </c>
      <c r="B17" s="21" t="s">
        <v>54</v>
      </c>
      <c r="C17" s="22" t="s">
        <v>55</v>
      </c>
      <c r="D17" s="23" t="s">
        <v>56</v>
      </c>
      <c r="E17" s="24" t="s">
        <v>57</v>
      </c>
      <c r="F17" s="20" t="s">
        <v>58</v>
      </c>
      <c r="G17" s="23" t="s">
        <v>59</v>
      </c>
      <c r="H17" s="23">
        <v>6</v>
      </c>
      <c r="I17" s="21">
        <v>20</v>
      </c>
      <c r="J17" s="22">
        <f>H17*I17</f>
        <v>120</v>
      </c>
      <c r="K17" s="25">
        <v>4.7</v>
      </c>
    </row>
    <row r="18" ht="20" customHeight="1" spans="1:11" x14ac:dyDescent="0.25">
      <c r="A18" s="26">
        <v>2</v>
      </c>
      <c r="B18" s="27" t="s">
        <v>60</v>
      </c>
      <c r="C18" s="28" t="s">
        <v>61</v>
      </c>
      <c r="D18" s="29" t="s">
        <v>62</v>
      </c>
      <c r="E18" s="30" t="s">
        <v>63</v>
      </c>
      <c r="F18" s="26" t="s">
        <v>64</v>
      </c>
      <c r="G18" s="29" t="s">
        <v>59</v>
      </c>
      <c r="H18" s="29">
        <v>6</v>
      </c>
      <c r="I18" s="27">
        <v>15</v>
      </c>
      <c r="J18" s="28">
        <f>H18*I18</f>
        <v>90</v>
      </c>
      <c r="K18" s="31">
        <v>6.5</v>
      </c>
    </row>
    <row r="19" ht="20" customHeight="1" spans="1:11" x14ac:dyDescent="0.25">
      <c r="A19" s="20">
        <v>3</v>
      </c>
      <c r="B19" s="21" t="s">
        <v>65</v>
      </c>
      <c r="C19" s="22" t="s">
        <v>66</v>
      </c>
      <c r="D19" s="23" t="s">
        <v>67</v>
      </c>
      <c r="E19" s="24" t="s">
        <v>68</v>
      </c>
      <c r="F19" s="20" t="s">
        <v>64</v>
      </c>
      <c r="G19" s="23" t="s">
        <v>59</v>
      </c>
      <c r="H19" s="23">
        <v>6</v>
      </c>
      <c r="I19" s="21">
        <v>12</v>
      </c>
      <c r="J19" s="22">
        <f>H19*I19</f>
        <v>72</v>
      </c>
      <c r="K19" s="25">
        <v>6.5</v>
      </c>
    </row>
    <row r="20" ht="20" customHeight="1" spans="1:11" x14ac:dyDescent="0.25">
      <c r="A20" s="26">
        <v>4</v>
      </c>
      <c r="B20" s="27" t="s">
        <v>69</v>
      </c>
      <c r="C20" s="28" t="s">
        <v>70</v>
      </c>
      <c r="D20" s="29" t="s">
        <v>71</v>
      </c>
      <c r="E20" s="30" t="s">
        <v>72</v>
      </c>
      <c r="F20" s="26" t="s">
        <v>73</v>
      </c>
      <c r="G20" s="29" t="s">
        <v>59</v>
      </c>
      <c r="H20" s="29">
        <v>6</v>
      </c>
      <c r="I20" s="27">
        <v>18</v>
      </c>
      <c r="J20" s="28">
        <f>H20*I20</f>
        <v>108</v>
      </c>
      <c r="K20" s="31">
        <v>7.4</v>
      </c>
    </row>
    <row r="21" ht="20" customHeight="1" spans="1:11" x14ac:dyDescent="0.25">
      <c r="A21" s="20">
        <v>5</v>
      </c>
      <c r="B21" s="21" t="s">
        <v>74</v>
      </c>
      <c r="C21" s="32" t="s">
        <v>75</v>
      </c>
      <c r="D21" s="23" t="s">
        <v>76</v>
      </c>
      <c r="E21" s="24" t="s">
        <v>77</v>
      </c>
      <c r="F21" s="20" t="s">
        <v>78</v>
      </c>
      <c r="G21" s="23" t="s">
        <v>59</v>
      </c>
      <c r="H21" s="23">
        <v>12</v>
      </c>
      <c r="I21" s="21">
        <v>10</v>
      </c>
      <c r="J21" s="22">
        <f>H21*I21</f>
        <v>120</v>
      </c>
      <c r="K21" s="25">
        <v>6.2</v>
      </c>
    </row>
    <row r="22" ht="20" customHeight="1" spans="1:11" x14ac:dyDescent="0.25">
      <c r="A22" s="33">
        <v>6</v>
      </c>
      <c r="B22" s="34"/>
      <c r="C22" s="34"/>
      <c r="D22" s="34"/>
      <c r="E22" s="34"/>
      <c r="F22" s="34"/>
      <c r="G22" s="33" t="s">
        <v>79</v>
      </c>
      <c r="H22" s="33">
        <v>1</v>
      </c>
      <c r="I22" s="34"/>
      <c r="J22" s="33">
        <f>IF(I22&gt;0,H22*I22,0)</f>
        <v>0</v>
      </c>
      <c r="K22" s="35"/>
    </row>
    <row r="23" ht="20" customHeight="1" spans="1:11" x14ac:dyDescent="0.25">
      <c r="A23" s="36">
        <v>7</v>
      </c>
      <c r="B23" s="37"/>
      <c r="C23" s="37"/>
      <c r="D23" s="37"/>
      <c r="E23" s="37"/>
      <c r="F23" s="37"/>
      <c r="G23" s="36" t="s">
        <v>79</v>
      </c>
      <c r="H23" s="36">
        <v>1</v>
      </c>
      <c r="I23" s="37"/>
      <c r="J23" s="36">
        <f>IF(I23&gt;0,H23*I23,0)</f>
        <v>0</v>
      </c>
      <c r="K23" s="38"/>
    </row>
    <row r="24" ht="20" customHeight="1" spans="1:11" x14ac:dyDescent="0.25">
      <c r="A24" s="33">
        <v>8</v>
      </c>
      <c r="B24" s="34"/>
      <c r="C24" s="34"/>
      <c r="D24" s="34"/>
      <c r="E24" s="34"/>
      <c r="F24" s="34"/>
      <c r="G24" s="33" t="s">
        <v>79</v>
      </c>
      <c r="H24" s="33">
        <v>1</v>
      </c>
      <c r="I24" s="34"/>
      <c r="J24" s="33">
        <f>IF(I24&gt;0,H24*I24,0)</f>
        <v>0</v>
      </c>
      <c r="K24" s="35"/>
    </row>
    <row r="25" ht="20" customHeight="1" spans="1:11" x14ac:dyDescent="0.25">
      <c r="A25" s="36">
        <v>9</v>
      </c>
      <c r="B25" s="37"/>
      <c r="C25" s="37"/>
      <c r="D25" s="37"/>
      <c r="E25" s="37"/>
      <c r="F25" s="37"/>
      <c r="G25" s="36" t="s">
        <v>79</v>
      </c>
      <c r="H25" s="36">
        <v>1</v>
      </c>
      <c r="I25" s="37"/>
      <c r="J25" s="36">
        <f>IF(I25&gt;0,H25*I25,0)</f>
        <v>0</v>
      </c>
      <c r="K25" s="38"/>
    </row>
    <row r="26" ht="20" customHeight="1" spans="1:11" x14ac:dyDescent="0.25">
      <c r="A26" s="33">
        <v>10</v>
      </c>
      <c r="B26" s="34"/>
      <c r="C26" s="34"/>
      <c r="D26" s="34"/>
      <c r="E26" s="34"/>
      <c r="F26" s="34"/>
      <c r="G26" s="33" t="s">
        <v>79</v>
      </c>
      <c r="H26" s="33">
        <v>1</v>
      </c>
      <c r="I26" s="34"/>
      <c r="J26" s="33">
        <f>IF(I26&gt;0,H26*I26,0)</f>
        <v>0</v>
      </c>
      <c r="K26" s="35"/>
    </row>
    <row r="27" ht="20" customHeight="1" spans="1:11" x14ac:dyDescent="0.25">
      <c r="A27" s="36">
        <v>11</v>
      </c>
      <c r="B27" s="37"/>
      <c r="C27" s="37"/>
      <c r="D27" s="37"/>
      <c r="E27" s="37"/>
      <c r="F27" s="37"/>
      <c r="G27" s="36" t="s">
        <v>79</v>
      </c>
      <c r="H27" s="36">
        <v>1</v>
      </c>
      <c r="I27" s="37"/>
      <c r="J27" s="36">
        <f>IF(I27&gt;0,H27*I27,0)</f>
        <v>0</v>
      </c>
      <c r="K27" s="38"/>
    </row>
    <row r="28" ht="20" customHeight="1" spans="1:11" x14ac:dyDescent="0.25">
      <c r="A28" s="33">
        <v>12</v>
      </c>
      <c r="B28" s="34"/>
      <c r="C28" s="34"/>
      <c r="D28" s="34"/>
      <c r="E28" s="34"/>
      <c r="F28" s="34"/>
      <c r="G28" s="33" t="s">
        <v>79</v>
      </c>
      <c r="H28" s="33">
        <v>1</v>
      </c>
      <c r="I28" s="34"/>
      <c r="J28" s="33">
        <f>IF(I28&gt;0,H28*I28,0)</f>
        <v>0</v>
      </c>
      <c r="K28" s="35"/>
    </row>
    <row r="29" ht="20" customHeight="1" spans="1:11" x14ac:dyDescent="0.25">
      <c r="A29" s="36">
        <v>13</v>
      </c>
      <c r="B29" s="37"/>
      <c r="C29" s="37"/>
      <c r="D29" s="37"/>
      <c r="E29" s="37"/>
      <c r="F29" s="37"/>
      <c r="G29" s="36" t="s">
        <v>79</v>
      </c>
      <c r="H29" s="36">
        <v>1</v>
      </c>
      <c r="I29" s="37"/>
      <c r="J29" s="36">
        <f>IF(I29&gt;0,H29*I29,0)</f>
        <v>0</v>
      </c>
      <c r="K29" s="38"/>
    </row>
    <row r="30" ht="20" customHeight="1" spans="1:11" x14ac:dyDescent="0.25">
      <c r="A30" s="33">
        <v>14</v>
      </c>
      <c r="B30" s="34"/>
      <c r="C30" s="34"/>
      <c r="D30" s="34"/>
      <c r="E30" s="34"/>
      <c r="F30" s="34"/>
      <c r="G30" s="33" t="s">
        <v>79</v>
      </c>
      <c r="H30" s="33">
        <v>1</v>
      </c>
      <c r="I30" s="34"/>
      <c r="J30" s="33">
        <f>IF(I30&gt;0,H30*I30,0)</f>
        <v>0</v>
      </c>
      <c r="K30" s="35"/>
    </row>
    <row r="31" ht="20" customHeight="1" spans="1:11" x14ac:dyDescent="0.25">
      <c r="A31" s="36">
        <v>15</v>
      </c>
      <c r="B31" s="37"/>
      <c r="C31" s="37"/>
      <c r="D31" s="37"/>
      <c r="E31" s="37"/>
      <c r="F31" s="37"/>
      <c r="G31" s="36" t="s">
        <v>79</v>
      </c>
      <c r="H31" s="36">
        <v>1</v>
      </c>
      <c r="I31" s="37"/>
      <c r="J31" s="36">
        <f>IF(I31&gt;0,H31*I31,0)</f>
        <v>0</v>
      </c>
      <c r="K31" s="38"/>
    </row>
    <row r="32" ht="20" customHeight="1" spans="1:11" x14ac:dyDescent="0.25">
      <c r="A32" s="33">
        <v>16</v>
      </c>
      <c r="B32" s="34"/>
      <c r="C32" s="34"/>
      <c r="D32" s="34"/>
      <c r="E32" s="34"/>
      <c r="F32" s="34"/>
      <c r="G32" s="33" t="s">
        <v>79</v>
      </c>
      <c r="H32" s="33">
        <v>1</v>
      </c>
      <c r="I32" s="34"/>
      <c r="J32" s="33">
        <f>IF(I32&gt;0,H32*I32,0)</f>
        <v>0</v>
      </c>
      <c r="K32" s="35"/>
    </row>
    <row r="33" ht="20" customHeight="1" spans="1:11" x14ac:dyDescent="0.25">
      <c r="A33" s="36">
        <v>17</v>
      </c>
      <c r="B33" s="37"/>
      <c r="C33" s="37"/>
      <c r="D33" s="37"/>
      <c r="E33" s="37"/>
      <c r="F33" s="37"/>
      <c r="G33" s="36" t="s">
        <v>79</v>
      </c>
      <c r="H33" s="36">
        <v>1</v>
      </c>
      <c r="I33" s="37"/>
      <c r="J33" s="36">
        <f>IF(I33&gt;0,H33*I33,0)</f>
        <v>0</v>
      </c>
      <c r="K33" s="38"/>
    </row>
    <row r="34" ht="20" customHeight="1" spans="1:11" x14ac:dyDescent="0.25">
      <c r="A34" s="33">
        <v>18</v>
      </c>
      <c r="B34" s="34"/>
      <c r="C34" s="34"/>
      <c r="D34" s="34"/>
      <c r="E34" s="34"/>
      <c r="F34" s="34"/>
      <c r="G34" s="33" t="s">
        <v>79</v>
      </c>
      <c r="H34" s="33">
        <v>1</v>
      </c>
      <c r="I34" s="34"/>
      <c r="J34" s="33">
        <f>IF(I34&gt;0,H34*I34,0)</f>
        <v>0</v>
      </c>
      <c r="K34" s="35"/>
    </row>
    <row r="35" ht="20" customHeight="1" spans="1:11" x14ac:dyDescent="0.25">
      <c r="A35" s="36">
        <v>19</v>
      </c>
      <c r="B35" s="37"/>
      <c r="C35" s="37"/>
      <c r="D35" s="37"/>
      <c r="E35" s="37"/>
      <c r="F35" s="37"/>
      <c r="G35" s="36" t="s">
        <v>79</v>
      </c>
      <c r="H35" s="36">
        <v>1</v>
      </c>
      <c r="I35" s="37"/>
      <c r="J35" s="36">
        <f>IF(I35&gt;0,H35*I35,0)</f>
        <v>0</v>
      </c>
      <c r="K35" s="38"/>
    </row>
    <row r="36" ht="20" customHeight="1" spans="1:11" x14ac:dyDescent="0.25">
      <c r="A36" s="33">
        <v>20</v>
      </c>
      <c r="B36" s="34"/>
      <c r="C36" s="34"/>
      <c r="D36" s="34"/>
      <c r="E36" s="34"/>
      <c r="F36" s="34"/>
      <c r="G36" s="33" t="s">
        <v>79</v>
      </c>
      <c r="H36" s="33">
        <v>1</v>
      </c>
      <c r="I36" s="34"/>
      <c r="J36" s="33">
        <f>IF(I36&gt;0,H36*I36,0)</f>
        <v>0</v>
      </c>
      <c r="K36" s="35"/>
    </row>
    <row r="37" ht="24" customHeight="1" spans="1:11" x14ac:dyDescent="0.25">
      <c r="A37" s="39" t="s">
        <v>80</v>
      </c>
      <c r="B37" s="39"/>
      <c r="C37" s="39"/>
      <c r="D37" s="39"/>
      <c r="E37" s="39"/>
      <c r="F37" s="39"/>
      <c r="G37" s="39"/>
      <c r="H37" s="39"/>
      <c r="I37" s="40">
        <f>SUM(I17:I36)</f>
        <v>75</v>
      </c>
      <c r="J37" s="40">
        <f>SUM(J17:J36)</f>
        <v>516</v>
      </c>
      <c r="K37" s="41" t="s">
        <v>75</v>
      </c>
    </row>
    <row r="38" ht="12" customHeight="1" x14ac:dyDescent="0.25"/>
    <row r="39" ht="20" customHeight="1" spans="1:11" x14ac:dyDescent="0.25">
      <c r="A39" s="42" t="s">
        <v>81</v>
      </c>
      <c r="B39" s="42"/>
      <c r="C39" s="42"/>
      <c r="D39" s="42"/>
      <c r="E39" s="42"/>
      <c r="F39" s="42"/>
      <c r="G39" s="42"/>
      <c r="H39" s="42"/>
      <c r="I39" s="42"/>
      <c r="J39" s="42"/>
      <c r="K39" s="42"/>
    </row>
    <row r="40" ht="18" customHeight="1" spans="1:11" x14ac:dyDescent="0.25">
      <c r="A40" s="43" t="s">
        <v>82</v>
      </c>
      <c r="B40" s="43"/>
      <c r="C40" s="43"/>
      <c r="D40" s="43"/>
      <c r="E40" s="43"/>
      <c r="F40" s="43"/>
      <c r="G40" s="43"/>
      <c r="H40" s="43"/>
      <c r="I40" s="43"/>
      <c r="J40" s="43"/>
      <c r="K40" s="43"/>
    </row>
    <row r="41" ht="18" customHeight="1" spans="1:11" x14ac:dyDescent="0.25">
      <c r="A41" s="43" t="s">
        <v>83</v>
      </c>
      <c r="B41" s="43"/>
      <c r="C41" s="43"/>
      <c r="D41" s="43"/>
      <c r="E41" s="43"/>
      <c r="F41" s="43"/>
      <c r="G41" s="43"/>
      <c r="H41" s="43"/>
      <c r="I41" s="43"/>
      <c r="J41" s="43"/>
      <c r="K41" s="43"/>
    </row>
    <row r="42" ht="18" customHeight="1" spans="1:11" x14ac:dyDescent="0.25">
      <c r="A42" s="43" t="s">
        <v>84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</row>
    <row r="43" ht="18" customHeight="1" spans="1:11" x14ac:dyDescent="0.25">
      <c r="A43" s="43" t="s">
        <v>85</v>
      </c>
      <c r="B43" s="43"/>
      <c r="C43" s="43"/>
      <c r="D43" s="43"/>
      <c r="E43" s="43"/>
      <c r="F43" s="43"/>
      <c r="G43" s="43"/>
      <c r="H43" s="43"/>
      <c r="I43" s="43"/>
      <c r="J43" s="43"/>
      <c r="K43" s="43"/>
    </row>
    <row r="44" ht="18" customHeight="1" spans="1:11" x14ac:dyDescent="0.25">
      <c r="A44" s="44" t="s">
        <v>86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</row>
  </sheetData>
  <mergeCells count="27">
    <mergeCell ref="A1:H1"/>
    <mergeCell ref="I1:K1"/>
    <mergeCell ref="A2:H2"/>
    <mergeCell ref="I2:K2"/>
    <mergeCell ref="A3:K3"/>
    <mergeCell ref="A5:E5"/>
    <mergeCell ref="F5:K5"/>
    <mergeCell ref="B6:E6"/>
    <mergeCell ref="G6:K6"/>
    <mergeCell ref="B7:E7"/>
    <mergeCell ref="G7:K7"/>
    <mergeCell ref="B8:E8"/>
    <mergeCell ref="G8:K8"/>
    <mergeCell ref="B9:E9"/>
    <mergeCell ref="G9:K9"/>
    <mergeCell ref="B10:E10"/>
    <mergeCell ref="G10:K10"/>
    <mergeCell ref="A12:K12"/>
    <mergeCell ref="J13:K13"/>
    <mergeCell ref="F14:K14"/>
    <mergeCell ref="A37:H37"/>
    <mergeCell ref="A39:K39"/>
    <mergeCell ref="A40:K40"/>
    <mergeCell ref="A41:K41"/>
    <mergeCell ref="A42:K42"/>
    <mergeCell ref="A43:K43"/>
    <mergeCell ref="A44:K4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"/>
  <sheetViews>
    <sheetView workbookViewId="0"/>
  </sheetViews>
  <sheetFormatPr defaultRowHeight="15" outlineLevelRow="0" outlineLevelCol="0" x14ac:dyDescent="55"/>
  <cols>
    <col min="1" max="1" width="6" customWidth="1"/>
    <col min="2" max="3" width="16" customWidth="1"/>
    <col min="4" max="4" width="38" customWidth="1"/>
    <col min="5" max="5" width="14" customWidth="1"/>
    <col min="6" max="6" width="12" customWidth="1"/>
    <col min="7" max="26" width="14" customWidth="1"/>
    <col min="27" max="27" width="15" customWidth="1"/>
    <col min="28" max="28" width="16" customWidth="1"/>
  </cols>
  <sheetData>
    <row r="1" ht="24" customHeight="1" spans="1:29" x14ac:dyDescent="0.25">
      <c r="A1" s="1" t="s">
        <v>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8" customHeight="1" spans="1:29" x14ac:dyDescent="0.25">
      <c r="A2" s="45" t="s">
        <v>88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</row>
    <row r="3" ht="18" customHeight="1" spans="1:28" x14ac:dyDescent="0.25">
      <c r="A3" s="46" t="s">
        <v>89</v>
      </c>
      <c r="B3" s="46"/>
      <c r="C3" s="46"/>
      <c r="D3" s="46"/>
      <c r="E3" s="46"/>
      <c r="F3" s="47" t="s">
        <v>90</v>
      </c>
      <c r="G3" s="48" t="s">
        <v>91</v>
      </c>
      <c r="H3" s="48"/>
      <c r="I3" s="48"/>
      <c r="J3" s="48"/>
      <c r="K3" s="48"/>
      <c r="L3" s="48"/>
      <c r="M3" s="48"/>
      <c r="N3" s="48"/>
      <c r="O3" s="49" t="s">
        <v>92</v>
      </c>
      <c r="P3" s="49"/>
      <c r="Q3" s="49"/>
      <c r="R3" s="49"/>
      <c r="S3" s="49"/>
      <c r="T3" s="49"/>
      <c r="U3" s="49"/>
      <c r="V3" s="49"/>
      <c r="W3" s="50" t="s">
        <v>93</v>
      </c>
      <c r="X3" s="50"/>
      <c r="Y3" s="50"/>
      <c r="Z3" s="50"/>
      <c r="AA3" s="46" t="s">
        <v>94</v>
      </c>
      <c r="AB3" s="46"/>
    </row>
    <row r="4" ht="24" customHeight="1" spans="1:28" x14ac:dyDescent="0.25">
      <c r="A4" s="51" t="s">
        <v>43</v>
      </c>
      <c r="B4" s="51" t="s">
        <v>95</v>
      </c>
      <c r="C4" s="51" t="s">
        <v>96</v>
      </c>
      <c r="D4" s="51" t="s">
        <v>47</v>
      </c>
      <c r="E4" s="51" t="s">
        <v>97</v>
      </c>
      <c r="F4" s="51" t="s">
        <v>98</v>
      </c>
      <c r="G4" s="51" t="s">
        <v>99</v>
      </c>
      <c r="H4" s="51" t="s">
        <v>100</v>
      </c>
      <c r="I4" s="51" t="s">
        <v>101</v>
      </c>
      <c r="J4" s="51" t="s">
        <v>102</v>
      </c>
      <c r="K4" s="51" t="s">
        <v>103</v>
      </c>
      <c r="L4" s="51" t="s">
        <v>104</v>
      </c>
      <c r="M4" s="51" t="s">
        <v>105</v>
      </c>
      <c r="N4" s="51" t="s">
        <v>106</v>
      </c>
      <c r="O4" s="51" t="s">
        <v>107</v>
      </c>
      <c r="P4" s="51" t="s">
        <v>108</v>
      </c>
      <c r="Q4" s="51" t="s">
        <v>109</v>
      </c>
      <c r="R4" s="51" t="s">
        <v>110</v>
      </c>
      <c r="S4" s="51" t="s">
        <v>111</v>
      </c>
      <c r="T4" s="51" t="s">
        <v>112</v>
      </c>
      <c r="U4" s="51" t="s">
        <v>113</v>
      </c>
      <c r="V4" s="51" t="s">
        <v>114</v>
      </c>
      <c r="W4" s="51" t="s">
        <v>115</v>
      </c>
      <c r="X4" s="51" t="s">
        <v>116</v>
      </c>
      <c r="Y4" s="51" t="s">
        <v>117</v>
      </c>
      <c r="Z4" s="51" t="s">
        <v>118</v>
      </c>
      <c r="AA4" s="51" t="s">
        <v>119</v>
      </c>
      <c r="AB4" s="51" t="s">
        <v>120</v>
      </c>
    </row>
    <row r="5" ht="20" customHeight="1" spans="1:28" x14ac:dyDescent="0.25">
      <c r="A5" s="52">
        <v>1</v>
      </c>
      <c r="B5" s="53" t="str">
        <f>='PEDIDO COMERCIAL'!B17</f>
        <v>652</v>
      </c>
      <c r="C5" s="52" t="str">
        <f>='PEDIDO COMERCIAL'!C17</f>
        <v>PRD-001</v>
      </c>
      <c r="D5" s="54" t="str">
        <f>='PEDIDO COMERCIAL'!E17</f>
        <v>INCENSARIO MOTIVACIONAL EM MADEIRA 25CM</v>
      </c>
      <c r="E5" s="22">
        <f>='PEDIDO COMERCIAL'!J17</f>
        <v>120</v>
      </c>
      <c r="F5" s="52">
        <v>12</v>
      </c>
      <c r="G5" s="52">
        <v>7</v>
      </c>
      <c r="H5" s="52">
        <v>7</v>
      </c>
      <c r="I5" s="52">
        <v>7</v>
      </c>
      <c r="J5" s="52">
        <v>7</v>
      </c>
      <c r="K5" s="52">
        <v>7</v>
      </c>
      <c r="L5" s="52">
        <v>7</v>
      </c>
      <c r="M5" s="52">
        <v>7</v>
      </c>
      <c r="N5" s="52">
        <v>7</v>
      </c>
      <c r="O5" s="52">
        <v>5</v>
      </c>
      <c r="P5" s="52">
        <v>5</v>
      </c>
      <c r="Q5" s="52">
        <v>5</v>
      </c>
      <c r="R5" s="52">
        <v>5</v>
      </c>
      <c r="S5" s="52">
        <v>5</v>
      </c>
      <c r="T5" s="52">
        <v>5</v>
      </c>
      <c r="U5" s="52">
        <v>5</v>
      </c>
      <c r="V5" s="52">
        <v>5</v>
      </c>
      <c r="W5" s="52">
        <v>3</v>
      </c>
      <c r="X5" s="52">
        <v>3</v>
      </c>
      <c r="Y5" s="52">
        <v>3</v>
      </c>
      <c r="Z5" s="52">
        <v>3</v>
      </c>
      <c r="AA5" s="53">
        <f>SUM(F5:Z5)</f>
        <v>120</v>
      </c>
      <c r="AB5" s="22" t="str">
        <f>IF(AA5=E5,"OK (100%)","DIVERGENTE")</f>
        <v>OK (100%)</v>
      </c>
    </row>
    <row r="6" ht="20" customHeight="1" spans="1:28" x14ac:dyDescent="0.25">
      <c r="A6" s="55">
        <v>2</v>
      </c>
      <c r="B6" s="56" t="str">
        <f>='PEDIDO COMERCIAL'!B18</f>
        <v>653</v>
      </c>
      <c r="C6" s="55" t="str">
        <f>='PEDIDO COMERCIAL'!C18</f>
        <v>PRD-002</v>
      </c>
      <c r="D6" s="57" t="str">
        <f>='PEDIDO COMERCIAL'!E18</f>
        <v>KIT PETISQUEIRA QUADRADA BAMBU COM 3 DIVISORIAS</v>
      </c>
      <c r="E6" s="28">
        <f>='PEDIDO COMERCIAL'!J18</f>
        <v>90</v>
      </c>
      <c r="F6" s="55">
        <v>9</v>
      </c>
      <c r="G6" s="55">
        <v>5</v>
      </c>
      <c r="H6" s="55">
        <v>5</v>
      </c>
      <c r="I6" s="55">
        <v>5</v>
      </c>
      <c r="J6" s="55">
        <v>5</v>
      </c>
      <c r="K6" s="55">
        <v>5</v>
      </c>
      <c r="L6" s="55">
        <v>5</v>
      </c>
      <c r="M6" s="55">
        <v>5</v>
      </c>
      <c r="N6" s="55">
        <v>5</v>
      </c>
      <c r="O6" s="55">
        <v>4</v>
      </c>
      <c r="P6" s="55">
        <v>4</v>
      </c>
      <c r="Q6" s="55">
        <v>4</v>
      </c>
      <c r="R6" s="55">
        <v>4</v>
      </c>
      <c r="S6" s="55">
        <v>4</v>
      </c>
      <c r="T6" s="55">
        <v>4</v>
      </c>
      <c r="U6" s="55">
        <v>4</v>
      </c>
      <c r="V6" s="55">
        <v>4</v>
      </c>
      <c r="W6" s="55">
        <v>2</v>
      </c>
      <c r="X6" s="55">
        <v>2</v>
      </c>
      <c r="Y6" s="55">
        <v>2</v>
      </c>
      <c r="Z6" s="55">
        <v>2</v>
      </c>
      <c r="AA6" s="56">
        <f>SUM(F6:Z6)</f>
        <v>90</v>
      </c>
      <c r="AB6" s="28" t="str">
        <f>IF(AA6=E6,"OK (100%)","DIVERGENTE")</f>
        <v>OK (100%)</v>
      </c>
    </row>
    <row r="7" ht="20" customHeight="1" spans="1:28" x14ac:dyDescent="0.25">
      <c r="A7" s="52">
        <v>3</v>
      </c>
      <c r="B7" s="53" t="str">
        <f>='PEDIDO COMERCIAL'!B19</f>
        <v>654</v>
      </c>
      <c r="C7" s="52" t="str">
        <f>='PEDIDO COMERCIAL'!C19</f>
        <v>PRD-003</v>
      </c>
      <c r="D7" s="54" t="str">
        <f>='PEDIDO COMERCIAL'!E19</f>
        <v>KIT PETISQUEIRA RETANGULAR 4 DIVISORIAS</v>
      </c>
      <c r="E7" s="22">
        <f>='PEDIDO COMERCIAL'!J19</f>
        <v>72</v>
      </c>
      <c r="F7" s="52">
        <v>7</v>
      </c>
      <c r="G7" s="52">
        <v>4</v>
      </c>
      <c r="H7" s="52">
        <v>4</v>
      </c>
      <c r="I7" s="52">
        <v>4</v>
      </c>
      <c r="J7" s="52">
        <v>4</v>
      </c>
      <c r="K7" s="52">
        <v>4</v>
      </c>
      <c r="L7" s="52">
        <v>4</v>
      </c>
      <c r="M7" s="52">
        <v>4</v>
      </c>
      <c r="N7" s="52">
        <v>4</v>
      </c>
      <c r="O7" s="52">
        <v>3</v>
      </c>
      <c r="P7" s="52">
        <v>3</v>
      </c>
      <c r="Q7" s="52">
        <v>3</v>
      </c>
      <c r="R7" s="52">
        <v>3</v>
      </c>
      <c r="S7" s="52">
        <v>3</v>
      </c>
      <c r="T7" s="52">
        <v>3</v>
      </c>
      <c r="U7" s="52">
        <v>3</v>
      </c>
      <c r="V7" s="52">
        <v>3</v>
      </c>
      <c r="W7" s="52">
        <v>2</v>
      </c>
      <c r="X7" s="52">
        <v>2</v>
      </c>
      <c r="Y7" s="52">
        <v>2</v>
      </c>
      <c r="Z7" s="52">
        <v>2</v>
      </c>
      <c r="AA7" s="53">
        <f>SUM(F7:Z7)</f>
        <v>72</v>
      </c>
      <c r="AB7" s="22" t="str">
        <f>IF(AA7=E7,"OK (100%)","DIVERGENTE")</f>
        <v>OK (100%)</v>
      </c>
    </row>
    <row r="8" ht="20" customHeight="1" spans="1:28" x14ac:dyDescent="0.25">
      <c r="A8" s="55">
        <v>4</v>
      </c>
      <c r="B8" s="56" t="str">
        <f>='PEDIDO COMERCIAL'!B20</f>
        <v>656</v>
      </c>
      <c r="C8" s="55" t="str">
        <f>='PEDIDO COMERCIAL'!C20</f>
        <v>PRD-004</v>
      </c>
      <c r="D8" s="57" t="str">
        <f>='PEDIDO COMERCIAL'!E20</f>
        <v>PORTA TEMPERO TABUA GIRATORIA C/ 5 POTES VIDRO</v>
      </c>
      <c r="E8" s="28">
        <f>='PEDIDO COMERCIAL'!J20</f>
        <v>108</v>
      </c>
      <c r="F8" s="55">
        <v>11</v>
      </c>
      <c r="G8" s="55">
        <v>6</v>
      </c>
      <c r="H8" s="55">
        <v>6</v>
      </c>
      <c r="I8" s="55">
        <v>6</v>
      </c>
      <c r="J8" s="55">
        <v>6</v>
      </c>
      <c r="K8" s="55">
        <v>6</v>
      </c>
      <c r="L8" s="55">
        <v>6</v>
      </c>
      <c r="M8" s="55">
        <v>6</v>
      </c>
      <c r="N8" s="55">
        <v>6</v>
      </c>
      <c r="O8" s="55">
        <v>4</v>
      </c>
      <c r="P8" s="55">
        <v>4</v>
      </c>
      <c r="Q8" s="55">
        <v>4</v>
      </c>
      <c r="R8" s="55">
        <v>4</v>
      </c>
      <c r="S8" s="55">
        <v>4</v>
      </c>
      <c r="T8" s="55">
        <v>4</v>
      </c>
      <c r="U8" s="55">
        <v>4</v>
      </c>
      <c r="V8" s="55">
        <v>4</v>
      </c>
      <c r="W8" s="55">
        <v>4</v>
      </c>
      <c r="X8" s="55">
        <v>4</v>
      </c>
      <c r="Y8" s="55">
        <v>4</v>
      </c>
      <c r="Z8" s="55">
        <v>4</v>
      </c>
      <c r="AA8" s="56">
        <f>SUM(F8:Z8)</f>
        <v>108</v>
      </c>
      <c r="AB8" s="28" t="str">
        <f>IF(AA8=E8,"OK (100%)","DIVERGENTE")</f>
        <v>OK (100%)</v>
      </c>
    </row>
    <row r="9" ht="20" customHeight="1" spans="1:28" x14ac:dyDescent="0.25">
      <c r="A9" s="52">
        <v>5</v>
      </c>
      <c r="B9" s="53" t="str">
        <f>='PEDIDO COMERCIAL'!B21</f>
        <v>657</v>
      </c>
      <c r="C9" s="52" t="str">
        <f>='PEDIDO COMERCIAL'!C21</f>
        <v/>
      </c>
      <c r="D9" s="54" t="str">
        <f>='PEDIDO COMERCIAL'!E21</f>
        <v>QUADRO MINHAS COMPRAS MAGNETICO 11X30CM C/ CANETA</v>
      </c>
      <c r="E9" s="22">
        <f>='PEDIDO COMERCIAL'!J21</f>
        <v>120</v>
      </c>
      <c r="F9" s="52">
        <v>12</v>
      </c>
      <c r="G9" s="52">
        <v>7</v>
      </c>
      <c r="H9" s="52">
        <v>7</v>
      </c>
      <c r="I9" s="52">
        <v>7</v>
      </c>
      <c r="J9" s="52">
        <v>7</v>
      </c>
      <c r="K9" s="52">
        <v>7</v>
      </c>
      <c r="L9" s="52">
        <v>7</v>
      </c>
      <c r="M9" s="52">
        <v>7</v>
      </c>
      <c r="N9" s="52">
        <v>7</v>
      </c>
      <c r="O9" s="52">
        <v>5</v>
      </c>
      <c r="P9" s="52">
        <v>5</v>
      </c>
      <c r="Q9" s="52">
        <v>5</v>
      </c>
      <c r="R9" s="52">
        <v>5</v>
      </c>
      <c r="S9" s="52">
        <v>5</v>
      </c>
      <c r="T9" s="52">
        <v>5</v>
      </c>
      <c r="U9" s="52">
        <v>5</v>
      </c>
      <c r="V9" s="52">
        <v>5</v>
      </c>
      <c r="W9" s="52">
        <v>3</v>
      </c>
      <c r="X9" s="52">
        <v>3</v>
      </c>
      <c r="Y9" s="52">
        <v>3</v>
      </c>
      <c r="Z9" s="52">
        <v>3</v>
      </c>
      <c r="AA9" s="53">
        <f>SUM(F9:Z9)</f>
        <v>120</v>
      </c>
      <c r="AB9" s="22" t="str">
        <f>IF(AA9=E9,"OK (100%)","DIVERGENTE")</f>
        <v>OK (100%)</v>
      </c>
    </row>
  </sheetData>
  <mergeCells count="7">
    <mergeCell ref="A1:AC1"/>
    <mergeCell ref="A2:AC2"/>
    <mergeCell ref="A3:E3"/>
    <mergeCell ref="G3:N3"/>
    <mergeCell ref="O3:V3"/>
    <mergeCell ref="W3:Z3"/>
    <mergeCell ref="AA3:AB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3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14" customWidth="1"/>
    <col min="4" max="4" width="16" customWidth="1"/>
    <col min="5" max="5" width="65" customWidth="1"/>
  </cols>
  <sheetData>
    <row r="2" ht="24" customHeight="1" spans="2:5" x14ac:dyDescent="0.25">
      <c r="B2" s="1" t="s">
        <v>121</v>
      </c>
      <c r="C2" s="1"/>
      <c r="D2" s="1"/>
      <c r="E2" s="1"/>
    </row>
    <row r="3" ht="18" customHeight="1" spans="2:5" x14ac:dyDescent="0.25">
      <c r="B3" s="45" t="s">
        <v>122</v>
      </c>
      <c r="C3" s="45"/>
      <c r="D3" s="45"/>
      <c r="E3" s="45"/>
    </row>
    <row r="5" ht="22" customHeight="1" spans="2:5" x14ac:dyDescent="0.25">
      <c r="B5" s="58" t="s">
        <v>123</v>
      </c>
      <c r="C5" s="58" t="s">
        <v>124</v>
      </c>
      <c r="D5" s="58" t="s">
        <v>125</v>
      </c>
      <c r="E5" s="58" t="s">
        <v>126</v>
      </c>
    </row>
    <row r="6" ht="20" customHeight="1" spans="2:5" x14ac:dyDescent="0.25">
      <c r="B6" s="59" t="s">
        <v>127</v>
      </c>
      <c r="C6" s="60" t="s">
        <v>128</v>
      </c>
      <c r="D6" s="61" t="s">
        <v>129</v>
      </c>
      <c r="E6" s="62" t="s">
        <v>130</v>
      </c>
    </row>
    <row r="7" ht="20" customHeight="1" spans="2:5" x14ac:dyDescent="0.25">
      <c r="B7" s="63" t="s">
        <v>131</v>
      </c>
      <c r="C7" s="64" t="s">
        <v>132</v>
      </c>
      <c r="D7" s="65" t="s">
        <v>133</v>
      </c>
      <c r="E7" s="66" t="s">
        <v>134</v>
      </c>
    </row>
    <row r="8" ht="20" customHeight="1" spans="2:5" x14ac:dyDescent="0.25">
      <c r="B8" s="59" t="s">
        <v>135</v>
      </c>
      <c r="C8" s="67" t="s">
        <v>132</v>
      </c>
      <c r="D8" s="61" t="s">
        <v>136</v>
      </c>
      <c r="E8" s="62" t="s">
        <v>137</v>
      </c>
    </row>
    <row r="9" ht="20" customHeight="1" spans="2:5" x14ac:dyDescent="0.25">
      <c r="B9" s="63" t="s">
        <v>138</v>
      </c>
      <c r="C9" s="68" t="s">
        <v>128</v>
      </c>
      <c r="D9" s="65" t="s">
        <v>139</v>
      </c>
      <c r="E9" s="66" t="s">
        <v>140</v>
      </c>
    </row>
    <row r="10" ht="20" customHeight="1" spans="2:5" x14ac:dyDescent="0.25">
      <c r="B10" s="59" t="s">
        <v>141</v>
      </c>
      <c r="C10" s="60" t="s">
        <v>128</v>
      </c>
      <c r="D10" s="61" t="s">
        <v>142</v>
      </c>
      <c r="E10" s="62" t="s">
        <v>143</v>
      </c>
    </row>
    <row r="11" ht="20" customHeight="1" spans="2:5" x14ac:dyDescent="0.25">
      <c r="B11" s="63" t="s">
        <v>144</v>
      </c>
      <c r="C11" s="64" t="s">
        <v>145</v>
      </c>
      <c r="D11" s="65" t="s">
        <v>146</v>
      </c>
      <c r="E11" s="66" t="s">
        <v>147</v>
      </c>
    </row>
    <row r="12" ht="20" customHeight="1" spans="2:5" x14ac:dyDescent="0.25">
      <c r="B12" s="59" t="s">
        <v>148</v>
      </c>
      <c r="C12" s="67" t="s">
        <v>145</v>
      </c>
      <c r="D12" s="61" t="s">
        <v>146</v>
      </c>
      <c r="E12" s="62" t="s">
        <v>149</v>
      </c>
    </row>
    <row r="13" ht="20" customHeight="1" spans="2:5" x14ac:dyDescent="0.25">
      <c r="B13" s="63" t="s">
        <v>44</v>
      </c>
      <c r="C13" s="68" t="s">
        <v>128</v>
      </c>
      <c r="D13" s="65" t="s">
        <v>150</v>
      </c>
      <c r="E13" s="66" t="s">
        <v>151</v>
      </c>
    </row>
    <row r="14" ht="20" customHeight="1" spans="2:5" x14ac:dyDescent="0.25">
      <c r="B14" s="59" t="s">
        <v>45</v>
      </c>
      <c r="C14" s="67" t="s">
        <v>145</v>
      </c>
      <c r="D14" s="61" t="s">
        <v>152</v>
      </c>
      <c r="E14" s="62" t="s">
        <v>153</v>
      </c>
    </row>
    <row r="15" ht="20" customHeight="1" spans="2:5" x14ac:dyDescent="0.25">
      <c r="B15" s="63" t="s">
        <v>46</v>
      </c>
      <c r="C15" s="64" t="s">
        <v>145</v>
      </c>
      <c r="D15" s="65" t="s">
        <v>154</v>
      </c>
      <c r="E15" s="66" t="s">
        <v>155</v>
      </c>
    </row>
    <row r="16" ht="20" customHeight="1" spans="2:5" x14ac:dyDescent="0.25">
      <c r="B16" s="59" t="s">
        <v>47</v>
      </c>
      <c r="C16" s="60" t="s">
        <v>128</v>
      </c>
      <c r="D16" s="61" t="s">
        <v>156</v>
      </c>
      <c r="E16" s="62" t="s">
        <v>157</v>
      </c>
    </row>
    <row r="17" ht="20" customHeight="1" spans="2:5" x14ac:dyDescent="0.25">
      <c r="B17" s="63" t="s">
        <v>48</v>
      </c>
      <c r="C17" s="64" t="s">
        <v>132</v>
      </c>
      <c r="D17" s="65" t="s">
        <v>158</v>
      </c>
      <c r="E17" s="66" t="s">
        <v>159</v>
      </c>
    </row>
    <row r="18" ht="20" customHeight="1" spans="2:5" x14ac:dyDescent="0.25">
      <c r="B18" s="59" t="s">
        <v>49</v>
      </c>
      <c r="C18" s="60" t="s">
        <v>128</v>
      </c>
      <c r="D18" s="61" t="s">
        <v>160</v>
      </c>
      <c r="E18" s="62" t="s">
        <v>161</v>
      </c>
    </row>
    <row r="19" ht="20" customHeight="1" spans="2:5" x14ac:dyDescent="0.25">
      <c r="B19" s="63" t="s">
        <v>162</v>
      </c>
      <c r="C19" s="68" t="s">
        <v>128</v>
      </c>
      <c r="D19" s="65" t="s">
        <v>163</v>
      </c>
      <c r="E19" s="66" t="s">
        <v>164</v>
      </c>
    </row>
    <row r="20" ht="20" customHeight="1" spans="2:5" x14ac:dyDescent="0.25">
      <c r="B20" s="59" t="s">
        <v>165</v>
      </c>
      <c r="C20" s="60" t="s">
        <v>128</v>
      </c>
      <c r="D20" s="61" t="s">
        <v>163</v>
      </c>
      <c r="E20" s="62" t="s">
        <v>166</v>
      </c>
    </row>
    <row r="21" ht="20" customHeight="1" spans="2:5" x14ac:dyDescent="0.25">
      <c r="B21" s="63" t="s">
        <v>52</v>
      </c>
      <c r="C21" s="69" t="s">
        <v>167</v>
      </c>
      <c r="D21" s="65" t="s">
        <v>168</v>
      </c>
      <c r="E21" s="66" t="s">
        <v>169</v>
      </c>
    </row>
    <row r="22" ht="20" customHeight="1" spans="2:5" x14ac:dyDescent="0.25">
      <c r="B22" s="59" t="s">
        <v>53</v>
      </c>
      <c r="C22" s="60" t="s">
        <v>128</v>
      </c>
      <c r="D22" s="61" t="s">
        <v>170</v>
      </c>
      <c r="E22" s="62" t="s">
        <v>171</v>
      </c>
    </row>
    <row r="23" ht="20" customHeight="1" spans="2:5" x14ac:dyDescent="0.25">
      <c r="B23" s="63" t="s">
        <v>172</v>
      </c>
      <c r="C23" s="64" t="s">
        <v>145</v>
      </c>
      <c r="D23" s="65" t="s">
        <v>173</v>
      </c>
      <c r="E23" s="66" t="s">
        <v>174</v>
      </c>
    </row>
  </sheetData>
  <mergeCells count="2">
    <mergeCell ref="B2:E2"/>
    <mergeCell ref="B3:E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0"/>
  <sheetViews>
    <sheetView workbookViewId="0"/>
  </sheetViews>
  <sheetFormatPr defaultRowHeight="15" outlineLevelRow="0" outlineLevelCol="0" x14ac:dyDescent="55"/>
  <cols>
    <col min="1" max="1" width="5" customWidth="1"/>
    <col min="2" max="2" width="30" customWidth="1"/>
    <col min="3" max="3" width="14" customWidth="1"/>
    <col min="4" max="4" width="60" customWidth="1"/>
  </cols>
  <sheetData>
    <row r="2" ht="24" customHeight="1" spans="2:4" x14ac:dyDescent="0.25">
      <c r="B2" s="1" t="s">
        <v>175</v>
      </c>
      <c r="C2" s="1"/>
      <c r="D2" s="1"/>
    </row>
    <row r="4" ht="22" customHeight="1" spans="2:4" x14ac:dyDescent="0.25">
      <c r="B4" s="58" t="s">
        <v>176</v>
      </c>
      <c r="C4" s="58" t="s">
        <v>177</v>
      </c>
      <c r="D4" s="58" t="s">
        <v>178</v>
      </c>
    </row>
    <row r="5" ht="20" customHeight="1" spans="2:4" x14ac:dyDescent="0.25">
      <c r="B5" s="59" t="s">
        <v>179</v>
      </c>
      <c r="C5" s="22" t="s">
        <v>180</v>
      </c>
      <c r="D5" s="62" t="s">
        <v>181</v>
      </c>
    </row>
    <row r="6" ht="20" customHeight="1" spans="2:4" x14ac:dyDescent="0.25">
      <c r="B6" s="63" t="s">
        <v>182</v>
      </c>
      <c r="C6" s="28" t="s">
        <v>183</v>
      </c>
      <c r="D6" s="66" t="s">
        <v>184</v>
      </c>
    </row>
    <row r="7" ht="20" customHeight="1" spans="2:4" x14ac:dyDescent="0.25">
      <c r="B7" s="59" t="s">
        <v>185</v>
      </c>
      <c r="C7" s="22" t="s">
        <v>186</v>
      </c>
      <c r="D7" s="62" t="s">
        <v>187</v>
      </c>
    </row>
    <row r="8" ht="20" customHeight="1" spans="2:4" x14ac:dyDescent="0.25">
      <c r="B8" s="63" t="s">
        <v>188</v>
      </c>
      <c r="C8" s="28" t="s">
        <v>189</v>
      </c>
      <c r="D8" s="66" t="s">
        <v>190</v>
      </c>
    </row>
    <row r="9" ht="20" customHeight="1" spans="2:4" x14ac:dyDescent="0.25">
      <c r="B9" s="59" t="s">
        <v>191</v>
      </c>
      <c r="C9" s="22" t="s">
        <v>192</v>
      </c>
      <c r="D9" s="62" t="s">
        <v>193</v>
      </c>
    </row>
    <row r="10" ht="20" customHeight="1" spans="2:4" x14ac:dyDescent="0.25">
      <c r="B10" s="63" t="s">
        <v>194</v>
      </c>
      <c r="C10" s="28" t="s">
        <v>192</v>
      </c>
      <c r="D10" s="66" t="s">
        <v>195</v>
      </c>
    </row>
  </sheetData>
  <mergeCells count="1">
    <mergeCell ref="B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PEDIDO COMERCIAL</vt:lpstr>
      <vt:lpstr>SEPARACAO POR LOJA</vt:lpstr>
      <vt:lpstr>INSTRUCOES DE PREENCHIMENTO</vt:lpstr>
      <vt:lpstr>PARAMETROS FISCAIS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 Mega 12 - Sistema de Compras</dc:creator>
  <dc:title/>
  <dc:subject/>
  <dc:description/>
  <cp:keywords/>
  <cp:category/>
  <cp:lastModifiedBy>Rede Mega 12</cp:lastModifiedBy>
  <dcterms:created xsi:type="dcterms:W3CDTF">2026-09-14T13:14:09Z</dcterms:created>
  <dcterms:modified xsi:type="dcterms:W3CDTF">2026-09-14T13:14:09Z</dcterms:modified>
</cp:coreProperties>
</file>
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faelluis/Desktop/COMPRAS/VR VAROES FABIO/VR VAROES 10:07:"/>
    </mc:Choice>
  </mc:AlternateContent>
  <xr:revisionPtr revIDLastSave="0" documentId="13_ncr:1_{CC12AFC8-5F35-E34D-B6BE-09BDFC286DBC}" xr6:coauthVersionLast="47" xr6:coauthVersionMax="47" xr10:uidLastSave="{00000000-0000-0000-0000-000000000000}"/>
  <bookViews>
    <workbookView xWindow="0" yWindow="980" windowWidth="28800" windowHeight="15440" xr2:uid="{00000000-000D-0000-FFFF-FFFF00000000}"/>
  </bookViews>
  <sheets>
    <sheet name="ALS 10 BAZAR" sheetId="2" r:id="rId1"/>
    <sheet name="LIMITE DE PRECO" sheetId="9" r:id="rId2"/>
    <sheet name="SEPARACAO" sheetId="10" r:id="rId3"/>
    <sheet name="CALCULADORA" sheetId="11" r:id="rId4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0" l="1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H27" i="10" s="1"/>
  <c r="H28" i="10"/>
  <c r="H32" i="10"/>
  <c r="F35" i="10"/>
  <c r="G35" i="10"/>
  <c r="F36" i="10"/>
  <c r="H36" i="10" s="1"/>
  <c r="G36" i="10"/>
  <c r="F37" i="10"/>
  <c r="G37" i="10"/>
  <c r="F38" i="10"/>
  <c r="G38" i="10"/>
  <c r="F39" i="10"/>
  <c r="H39" i="10" s="1"/>
  <c r="G39" i="10"/>
  <c r="F40" i="10"/>
  <c r="H40" i="10" s="1"/>
  <c r="G40" i="10"/>
  <c r="F41" i="10"/>
  <c r="G41" i="10"/>
  <c r="F42" i="10"/>
  <c r="G42" i="10"/>
  <c r="F43" i="10"/>
  <c r="H43" i="10" s="1"/>
  <c r="G43" i="10"/>
  <c r="F44" i="10"/>
  <c r="G44" i="10"/>
  <c r="F45" i="10"/>
  <c r="G45" i="10"/>
  <c r="F46" i="10"/>
  <c r="G46" i="10"/>
  <c r="F47" i="10"/>
  <c r="H47" i="10" s="1"/>
  <c r="G47" i="10"/>
  <c r="F48" i="10"/>
  <c r="G48" i="10"/>
  <c r="H48" i="10"/>
  <c r="F49" i="10"/>
  <c r="G49" i="10"/>
  <c r="F50" i="10"/>
  <c r="H50" i="10" s="1"/>
  <c r="G50" i="10"/>
  <c r="F51" i="10"/>
  <c r="H51" i="10" s="1"/>
  <c r="G51" i="10"/>
  <c r="F52" i="10"/>
  <c r="G52" i="10"/>
  <c r="H52" i="10"/>
  <c r="F53" i="10"/>
  <c r="H53" i="10" s="1"/>
  <c r="G53" i="10"/>
  <c r="F54" i="10"/>
  <c r="H54" i="10" s="1"/>
  <c r="G54" i="10"/>
  <c r="F55" i="10"/>
  <c r="G55" i="10"/>
  <c r="H55" i="10"/>
  <c r="F56" i="10"/>
  <c r="H56" i="10" s="1"/>
  <c r="G56" i="10"/>
  <c r="F57" i="10"/>
  <c r="H57" i="10" s="1"/>
  <c r="G57" i="10"/>
  <c r="F58" i="10"/>
  <c r="G58" i="10"/>
  <c r="F59" i="10"/>
  <c r="G59" i="10"/>
  <c r="H59" i="10"/>
  <c r="F60" i="10"/>
  <c r="H60" i="10" s="1"/>
  <c r="G60" i="10"/>
  <c r="F61" i="10"/>
  <c r="G61" i="10"/>
  <c r="F62" i="10"/>
  <c r="G62" i="10"/>
  <c r="F63" i="10"/>
  <c r="H63" i="10" s="1"/>
  <c r="G63" i="10"/>
  <c r="F64" i="10"/>
  <c r="G64" i="10"/>
  <c r="H64" i="10"/>
  <c r="F65" i="10"/>
  <c r="G65" i="10"/>
  <c r="F66" i="10"/>
  <c r="H66" i="10" s="1"/>
  <c r="G66" i="10"/>
  <c r="F67" i="10"/>
  <c r="H67" i="10" s="1"/>
  <c r="G67" i="10"/>
  <c r="F68" i="10"/>
  <c r="G68" i="10"/>
  <c r="H68" i="10"/>
  <c r="F69" i="10"/>
  <c r="H69" i="10" s="1"/>
  <c r="G69" i="10"/>
  <c r="F70" i="10"/>
  <c r="H70" i="10" s="1"/>
  <c r="G70" i="10"/>
  <c r="F71" i="10"/>
  <c r="G71" i="10"/>
  <c r="H71" i="10"/>
  <c r="F72" i="10"/>
  <c r="H72" i="10" s="1"/>
  <c r="G72" i="10"/>
  <c r="F73" i="10"/>
  <c r="H73" i="10" s="1"/>
  <c r="G73" i="10"/>
  <c r="F74" i="10"/>
  <c r="G74" i="10"/>
  <c r="F75" i="10"/>
  <c r="G75" i="10"/>
  <c r="H75" i="10"/>
  <c r="F76" i="10"/>
  <c r="F77" i="10"/>
  <c r="H77" i="10" s="1"/>
  <c r="G77" i="10"/>
  <c r="F78" i="10"/>
  <c r="G78" i="10"/>
  <c r="F79" i="10"/>
  <c r="G79" i="10"/>
  <c r="H79" i="10"/>
  <c r="F80" i="10"/>
  <c r="H80" i="10" s="1"/>
  <c r="G80" i="10"/>
  <c r="F81" i="10"/>
  <c r="G81" i="10"/>
  <c r="F82" i="10"/>
  <c r="G82" i="10"/>
  <c r="F83" i="10"/>
  <c r="H83" i="10" s="1"/>
  <c r="G83" i="10"/>
  <c r="F84" i="10"/>
  <c r="G84" i="10"/>
  <c r="H84" i="10"/>
  <c r="F85" i="10"/>
  <c r="G85" i="10"/>
  <c r="F86" i="10"/>
  <c r="H86" i="10" s="1"/>
  <c r="G86" i="10"/>
  <c r="F87" i="10"/>
  <c r="H87" i="10" s="1"/>
  <c r="G87" i="10"/>
  <c r="F88" i="10"/>
  <c r="G88" i="10"/>
  <c r="H88" i="10"/>
  <c r="F89" i="10"/>
  <c r="H89" i="10" s="1"/>
  <c r="G89" i="10"/>
  <c r="F90" i="10"/>
  <c r="H90" i="10" s="1"/>
  <c r="G90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D5" i="11"/>
  <c r="D6" i="11" s="1"/>
  <c r="D8" i="11" s="1"/>
  <c r="C5" i="11"/>
  <c r="C6" i="11" s="1"/>
  <c r="C8" i="11" s="1"/>
  <c r="B5" i="11"/>
  <c r="B6" i="11" s="1"/>
  <c r="H16" i="10" l="1"/>
  <c r="E8" i="11"/>
  <c r="H31" i="10"/>
  <c r="H85" i="10"/>
  <c r="H82" i="10"/>
  <c r="H65" i="10"/>
  <c r="H62" i="10"/>
  <c r="H49" i="10"/>
  <c r="H46" i="10"/>
  <c r="H15" i="10"/>
  <c r="H81" i="10"/>
  <c r="H78" i="10"/>
  <c r="H74" i="10"/>
  <c r="H61" i="10"/>
  <c r="H58" i="10"/>
  <c r="H42" i="10"/>
  <c r="H24" i="10"/>
  <c r="H45" i="10"/>
  <c r="H38" i="10"/>
  <c r="H41" i="10"/>
  <c r="H44" i="10"/>
  <c r="H26" i="10"/>
  <c r="H18" i="10"/>
  <c r="H35" i="10"/>
  <c r="H19" i="10"/>
  <c r="H29" i="10"/>
  <c r="H25" i="10"/>
  <c r="H23" i="10"/>
  <c r="H22" i="10"/>
  <c r="H37" i="10"/>
  <c r="H34" i="10"/>
  <c r="H21" i="10"/>
  <c r="H14" i="10"/>
  <c r="H17" i="10"/>
  <c r="H33" i="10"/>
  <c r="H30" i="10"/>
  <c r="H20" i="10"/>
  <c r="H13" i="10"/>
  <c r="B8" i="11"/>
  <c r="M12" i="9"/>
  <c r="S8" i="9"/>
  <c r="K12" i="9" s="1"/>
  <c r="A91" i="10"/>
  <c r="A92" i="10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I68" i="9"/>
  <c r="G68" i="9"/>
  <c r="F68" i="9"/>
  <c r="B68" i="9"/>
  <c r="A68" i="9"/>
  <c r="B5" i="10"/>
  <c r="B4" i="10"/>
  <c r="B3" i="10"/>
  <c r="I5" i="10"/>
  <c r="I4" i="10"/>
  <c r="I3" i="10"/>
  <c r="I2" i="10"/>
  <c r="I7" i="10"/>
  <c r="G7" i="10"/>
  <c r="E7" i="10"/>
  <c r="C7" i="10"/>
  <c r="G10" i="10"/>
  <c r="G11" i="10"/>
  <c r="G12" i="10"/>
  <c r="F10" i="10"/>
  <c r="F11" i="10"/>
  <c r="F12" i="10"/>
  <c r="B10" i="10"/>
  <c r="B11" i="10"/>
  <c r="B12" i="10"/>
  <c r="A10" i="10"/>
  <c r="A11" i="10"/>
  <c r="A12" i="10"/>
  <c r="A13" i="10"/>
  <c r="B9" i="10"/>
  <c r="G9" i="10"/>
  <c r="F9" i="10"/>
  <c r="A9" i="10"/>
  <c r="I3" i="9"/>
  <c r="I2" i="9"/>
  <c r="B5" i="9"/>
  <c r="E4" i="9"/>
  <c r="E3" i="9"/>
  <c r="B4" i="9"/>
  <c r="B3" i="9"/>
  <c r="I7" i="9"/>
  <c r="G7" i="9"/>
  <c r="E7" i="9"/>
  <c r="C7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9" i="9"/>
  <c r="B70" i="9"/>
  <c r="B71" i="9"/>
  <c r="B9" i="9"/>
  <c r="O12" i="9" l="1"/>
  <c r="H12" i="10"/>
  <c r="H9" i="10"/>
  <c r="H10" i="10"/>
  <c r="H11" i="10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9" i="9"/>
  <c r="I70" i="9"/>
  <c r="I71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H46" i="9" s="1"/>
  <c r="G47" i="9"/>
  <c r="G48" i="9"/>
  <c r="G49" i="9"/>
  <c r="G50" i="9"/>
  <c r="G51" i="9"/>
  <c r="H51" i="9" s="1"/>
  <c r="J51" i="9" s="1"/>
  <c r="G52" i="9"/>
  <c r="G53" i="9"/>
  <c r="H53" i="9" s="1"/>
  <c r="G54" i="9"/>
  <c r="G55" i="9"/>
  <c r="G56" i="9"/>
  <c r="G57" i="9"/>
  <c r="G58" i="9"/>
  <c r="G59" i="9"/>
  <c r="G60" i="9"/>
  <c r="G61" i="9"/>
  <c r="H61" i="9" s="1"/>
  <c r="G62" i="9"/>
  <c r="G63" i="9"/>
  <c r="G64" i="9"/>
  <c r="G65" i="9"/>
  <c r="G66" i="9"/>
  <c r="G67" i="9"/>
  <c r="G69" i="9"/>
  <c r="G70" i="9"/>
  <c r="G71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H32" i="9" s="1"/>
  <c r="F33" i="9"/>
  <c r="F34" i="9"/>
  <c r="F35" i="9"/>
  <c r="F36" i="9"/>
  <c r="F37" i="9"/>
  <c r="F38" i="9"/>
  <c r="F39" i="9"/>
  <c r="F40" i="9"/>
  <c r="H40" i="9" s="1"/>
  <c r="F41" i="9"/>
  <c r="F42" i="9"/>
  <c r="F43" i="9"/>
  <c r="F44" i="9"/>
  <c r="F45" i="9"/>
  <c r="F46" i="9"/>
  <c r="F47" i="9"/>
  <c r="F48" i="9"/>
  <c r="H48" i="9" s="1"/>
  <c r="F49" i="9"/>
  <c r="F50" i="9"/>
  <c r="H50" i="9" s="1"/>
  <c r="J50" i="9" s="1"/>
  <c r="F51" i="9"/>
  <c r="F52" i="9"/>
  <c r="F53" i="9"/>
  <c r="F54" i="9"/>
  <c r="H54" i="9" s="1"/>
  <c r="F55" i="9"/>
  <c r="F56" i="9"/>
  <c r="H56" i="9" s="1"/>
  <c r="J56" i="9" s="1"/>
  <c r="F57" i="9"/>
  <c r="F58" i="9"/>
  <c r="H58" i="9" s="1"/>
  <c r="J58" i="9" s="1"/>
  <c r="F59" i="9"/>
  <c r="F60" i="9"/>
  <c r="F61" i="9"/>
  <c r="F62" i="9"/>
  <c r="F63" i="9"/>
  <c r="F64" i="9"/>
  <c r="H64" i="9" s="1"/>
  <c r="F65" i="9"/>
  <c r="F66" i="9"/>
  <c r="H66" i="9" s="1"/>
  <c r="J66" i="9" s="1"/>
  <c r="F67" i="9"/>
  <c r="H68" i="9"/>
  <c r="J68" i="9" s="1"/>
  <c r="F69" i="9"/>
  <c r="F70" i="9"/>
  <c r="F71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9" i="9"/>
  <c r="A70" i="9"/>
  <c r="A71" i="9"/>
  <c r="I9" i="9"/>
  <c r="G9" i="9"/>
  <c r="F9" i="9"/>
  <c r="A9" i="9"/>
  <c r="H76" i="9"/>
  <c r="J76" i="9" s="1"/>
  <c r="H75" i="9"/>
  <c r="J75" i="9" s="1"/>
  <c r="H74" i="9"/>
  <c r="J74" i="9" s="1"/>
  <c r="H73" i="9"/>
  <c r="J73" i="9" s="1"/>
  <c r="H72" i="9"/>
  <c r="J72" i="9" s="1"/>
  <c r="H69" i="9"/>
  <c r="H62" i="9"/>
  <c r="H59" i="9"/>
  <c r="J59" i="9" s="1"/>
  <c r="H44" i="9"/>
  <c r="H43" i="9"/>
  <c r="H27" i="9" l="1"/>
  <c r="H24" i="9"/>
  <c r="H16" i="9"/>
  <c r="J16" i="9" s="1"/>
  <c r="H29" i="9"/>
  <c r="H21" i="9"/>
  <c r="J21" i="9" s="1"/>
  <c r="H28" i="9"/>
  <c r="J28" i="9" s="1"/>
  <c r="H20" i="9"/>
  <c r="J20" i="9" s="1"/>
  <c r="H47" i="9"/>
  <c r="J47" i="9" s="1"/>
  <c r="J69" i="9"/>
  <c r="H22" i="9"/>
  <c r="J22" i="9" s="1"/>
  <c r="H42" i="9"/>
  <c r="J42" i="9" s="1"/>
  <c r="H34" i="9"/>
  <c r="J34" i="9" s="1"/>
  <c r="H26" i="9"/>
  <c r="J26" i="9" s="1"/>
  <c r="H18" i="9"/>
  <c r="J18" i="9" s="1"/>
  <c r="J44" i="9"/>
  <c r="H55" i="9"/>
  <c r="H60" i="9"/>
  <c r="J60" i="9" s="1"/>
  <c r="H65" i="9"/>
  <c r="J65" i="9" s="1"/>
  <c r="H57" i="9"/>
  <c r="J57" i="9" s="1"/>
  <c r="H49" i="9"/>
  <c r="J49" i="9" s="1"/>
  <c r="H52" i="9"/>
  <c r="J52" i="9" s="1"/>
  <c r="H67" i="9"/>
  <c r="J67" i="9" s="1"/>
  <c r="J43" i="9"/>
  <c r="H41" i="9"/>
  <c r="J41" i="9" s="1"/>
  <c r="H33" i="9"/>
  <c r="H25" i="9"/>
  <c r="J25" i="9" s="1"/>
  <c r="H19" i="9"/>
  <c r="J19" i="9" s="1"/>
  <c r="H37" i="9"/>
  <c r="J37" i="9" s="1"/>
  <c r="H14" i="9"/>
  <c r="J14" i="9" s="1"/>
  <c r="H17" i="9"/>
  <c r="J17" i="9" s="1"/>
  <c r="H36" i="9"/>
  <c r="J36" i="9" s="1"/>
  <c r="J33" i="9"/>
  <c r="H35" i="9"/>
  <c r="J35" i="9" s="1"/>
  <c r="H11" i="9"/>
  <c r="J11" i="9" s="1"/>
  <c r="H12" i="9"/>
  <c r="J12" i="9" s="1"/>
  <c r="J27" i="9"/>
  <c r="H71" i="9"/>
  <c r="J71" i="9" s="1"/>
  <c r="H39" i="9"/>
  <c r="J39" i="9" s="1"/>
  <c r="H23" i="9"/>
  <c r="J23" i="9" s="1"/>
  <c r="H15" i="9"/>
  <c r="J15" i="9" s="1"/>
  <c r="H30" i="9"/>
  <c r="J30" i="9" s="1"/>
  <c r="G77" i="9"/>
  <c r="H9" i="9"/>
  <c r="H10" i="9"/>
  <c r="J10" i="9" s="1"/>
  <c r="J40" i="9"/>
  <c r="J46" i="9"/>
  <c r="J55" i="9"/>
  <c r="J24" i="9"/>
  <c r="J64" i="9"/>
  <c r="J32" i="9"/>
  <c r="J48" i="9"/>
  <c r="J53" i="9"/>
  <c r="J61" i="9"/>
  <c r="J29" i="9"/>
  <c r="J54" i="9"/>
  <c r="J62" i="9"/>
  <c r="H70" i="9"/>
  <c r="J70" i="9" s="1"/>
  <c r="H38" i="9"/>
  <c r="J38" i="9" s="1"/>
  <c r="H31" i="9"/>
  <c r="J31" i="9" s="1"/>
  <c r="H45" i="9"/>
  <c r="J45" i="9" s="1"/>
  <c r="H13" i="9"/>
  <c r="J13" i="9" s="1"/>
  <c r="H63" i="9"/>
  <c r="J63" i="9" s="1"/>
  <c r="H50" i="2"/>
  <c r="J50" i="2" s="1"/>
  <c r="H51" i="2"/>
  <c r="J51" i="2" s="1"/>
  <c r="H52" i="2"/>
  <c r="J52" i="2" s="1"/>
  <c r="H53" i="2"/>
  <c r="J53" i="2" s="1"/>
  <c r="H54" i="2"/>
  <c r="J54" i="2" s="1"/>
  <c r="H55" i="2"/>
  <c r="J55" i="2" s="1"/>
  <c r="H56" i="2"/>
  <c r="J56" i="2" s="1"/>
  <c r="H57" i="2"/>
  <c r="J57" i="2" s="1"/>
  <c r="H58" i="2"/>
  <c r="J58" i="2" s="1"/>
  <c r="H59" i="2"/>
  <c r="J59" i="2" s="1"/>
  <c r="H60" i="2"/>
  <c r="J60" i="2" s="1"/>
  <c r="H77" i="9" l="1"/>
  <c r="J78" i="9" s="1"/>
  <c r="J9" i="9"/>
  <c r="G76" i="2"/>
  <c r="G76" i="10" s="1"/>
  <c r="H76" i="10" s="1"/>
  <c r="J77" i="9" l="1"/>
  <c r="I78" i="9"/>
  <c r="H75" i="2"/>
  <c r="J75" i="2" s="1"/>
  <c r="J9" i="2"/>
  <c r="H73" i="2"/>
  <c r="J73" i="2" s="1"/>
  <c r="H74" i="2"/>
  <c r="J74" i="2" s="1"/>
  <c r="H72" i="2"/>
  <c r="J72" i="2" s="1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H45" i="2"/>
  <c r="J45" i="2" s="1"/>
  <c r="H46" i="2"/>
  <c r="J46" i="2" s="1"/>
  <c r="H47" i="2"/>
  <c r="J47" i="2" s="1"/>
  <c r="H48" i="2"/>
  <c r="J48" i="2" s="1"/>
  <c r="H49" i="2"/>
  <c r="J49" i="2" s="1"/>
  <c r="H61" i="2"/>
  <c r="J61" i="2" s="1"/>
  <c r="H62" i="2"/>
  <c r="J62" i="2" s="1"/>
  <c r="H63" i="2"/>
  <c r="J63" i="2" s="1"/>
  <c r="H64" i="2"/>
  <c r="J64" i="2" s="1"/>
  <c r="H65" i="2"/>
  <c r="J65" i="2" s="1"/>
  <c r="H66" i="2"/>
  <c r="J66" i="2" s="1"/>
  <c r="H67" i="2"/>
  <c r="J67" i="2" s="1"/>
  <c r="H68" i="2"/>
  <c r="J68" i="2" s="1"/>
  <c r="H69" i="2"/>
  <c r="J69" i="2" s="1"/>
  <c r="H70" i="2"/>
  <c r="J70" i="2" s="1"/>
  <c r="H71" i="2"/>
  <c r="J71" i="2" s="1"/>
  <c r="J11" i="2"/>
  <c r="J13" i="2"/>
  <c r="J14" i="2"/>
  <c r="J15" i="2"/>
  <c r="J17" i="2"/>
  <c r="J18" i="2"/>
  <c r="J19" i="2"/>
  <c r="J20" i="2"/>
  <c r="J21" i="2"/>
  <c r="J22" i="2"/>
  <c r="J23" i="2"/>
  <c r="J24" i="2"/>
  <c r="J25" i="2"/>
  <c r="J26" i="2"/>
  <c r="J27" i="2"/>
  <c r="J10" i="2"/>
  <c r="J16" i="2" l="1"/>
  <c r="J12" i="2"/>
  <c r="H76" i="2"/>
  <c r="J77" i="2" s="1"/>
  <c r="I77" i="2" l="1"/>
  <c r="J76" i="2" l="1"/>
</calcChain>
</file>

<file path=xl/sharedStrings.xml><?xml version="1.0" encoding="utf-8"?>
<sst xmlns="http://schemas.openxmlformats.org/spreadsheetml/2006/main" count="169" uniqueCount="108">
  <si>
    <t>QTD NO PEC</t>
  </si>
  <si>
    <t>QTD DE PEC</t>
  </si>
  <si>
    <t>VENDEDOR:</t>
  </si>
  <si>
    <t>PROGRAMAÇÃO</t>
  </si>
  <si>
    <t>FORNECEDOR:</t>
  </si>
  <si>
    <t>COND. PAG.</t>
  </si>
  <si>
    <t>OBSERVAÇÃO:</t>
  </si>
  <si>
    <t>CONTATO</t>
  </si>
  <si>
    <t>DATA PEDIDO</t>
  </si>
  <si>
    <t>DATA ENTREGA</t>
  </si>
  <si>
    <t>37.144.240/0001-70</t>
  </si>
  <si>
    <t>% OFF</t>
  </si>
  <si>
    <t>N° PEDIDO</t>
  </si>
  <si>
    <t>QTD UNI</t>
  </si>
  <si>
    <t>VALOR TOTAL</t>
  </si>
  <si>
    <t>DESCRIÇÃO PRODUTO</t>
  </si>
  <si>
    <t>CASTRO</t>
  </si>
  <si>
    <t>IMBITUVA</t>
  </si>
  <si>
    <t>IVAI</t>
  </si>
  <si>
    <t>FRETE</t>
  </si>
  <si>
    <t>REFERÊNCIA DE FÁBRICA</t>
  </si>
  <si>
    <t>Rafael (55) 9. 9659-6315</t>
  </si>
  <si>
    <t>PREÇO MÉDIO</t>
  </si>
  <si>
    <t>OBSERVAÇÕES:</t>
  </si>
  <si>
    <t>ACRESCIMOS:</t>
  </si>
  <si>
    <t>ST</t>
  </si>
  <si>
    <t>IPI</t>
  </si>
  <si>
    <t>DIFAL</t>
  </si>
  <si>
    <t>JAVERT</t>
  </si>
  <si>
    <t>43.304.141/0001-00</t>
  </si>
  <si>
    <r>
      <rPr>
        <b/>
        <sz val="14"/>
        <rFont val="Arial"/>
        <family val="2"/>
      </rPr>
      <t>PEDIDO DE COMPRA</t>
    </r>
    <r>
      <rPr>
        <b/>
        <sz val="14"/>
        <color rgb="FFFF0000"/>
        <rFont val="Arial"/>
        <family val="2"/>
      </rPr>
      <t xml:space="preserve"> ALS 10 </t>
    </r>
  </si>
  <si>
    <t>Bruna (55) 9. 3618-5609</t>
  </si>
  <si>
    <t>TIBAGI</t>
  </si>
  <si>
    <t>RESERVA</t>
  </si>
  <si>
    <t>IMBAU</t>
  </si>
  <si>
    <t>AGENDAR ENTREGA</t>
  </si>
  <si>
    <t>(42) 9 9136-5009</t>
  </si>
  <si>
    <t>CONFERENTE</t>
  </si>
  <si>
    <t>**SE POSSUIR AVARIAS APONTAR NO VERSO DA FOLHA</t>
  </si>
  <si>
    <t>SIM</t>
  </si>
  <si>
    <t xml:space="preserve"> NÃO</t>
  </si>
  <si>
    <t>POSSUI AVARIAS?</t>
  </si>
  <si>
    <t>DESCARREGAMENTO POR CONTA DO FORNECEDOR</t>
  </si>
  <si>
    <t>BOLETOS E PEDIDOS VIA E-MAIL - PARTE ESPECIAL VIA DEPOSITOS</t>
  </si>
  <si>
    <t>als.conecta@gmail.com</t>
  </si>
  <si>
    <t>RIO AZUL</t>
  </si>
  <si>
    <r>
      <rPr>
        <b/>
        <sz val="14"/>
        <rFont val="Arial"/>
        <family val="2"/>
      </rPr>
      <t>PEDIDO DE COMPRA</t>
    </r>
    <r>
      <rPr>
        <b/>
        <sz val="14"/>
        <color rgb="FFFF0000"/>
        <rFont val="Arial"/>
        <family val="2"/>
      </rPr>
      <t xml:space="preserve"> CONECTA</t>
    </r>
  </si>
  <si>
    <t>MALLET</t>
  </si>
  <si>
    <t>PEDIDO PARA SEPARACAO</t>
  </si>
  <si>
    <t>CODIGO INTERNO</t>
  </si>
  <si>
    <t>PDV</t>
  </si>
  <si>
    <t>CAMPO LARGO</t>
  </si>
  <si>
    <t>ICMS</t>
  </si>
  <si>
    <t>PIS/COFINS</t>
  </si>
  <si>
    <t>FIXO</t>
  </si>
  <si>
    <t>CREDITO ICMS</t>
  </si>
  <si>
    <t>TOTAL</t>
  </si>
  <si>
    <t>VALOR DE COMPRA</t>
  </si>
  <si>
    <t>VALOR CREDITO</t>
  </si>
  <si>
    <t>VALOR TOTAL PRODUTO</t>
  </si>
  <si>
    <t>DESPESAS</t>
  </si>
  <si>
    <t>IPIRANGA</t>
  </si>
  <si>
    <t>SANTA PAULA</t>
  </si>
  <si>
    <t>PRUDE</t>
  </si>
  <si>
    <t>DEPOSITO</t>
  </si>
  <si>
    <t>REBOUCAS</t>
  </si>
  <si>
    <t>PEDIDO</t>
  </si>
  <si>
    <t>RECEBIMENTO</t>
  </si>
  <si>
    <t>PROG.</t>
  </si>
  <si>
    <t>N. RUSSIA</t>
  </si>
  <si>
    <t>IRATI C.</t>
  </si>
  <si>
    <t>A</t>
  </si>
  <si>
    <t>B</t>
  </si>
  <si>
    <t>C</t>
  </si>
  <si>
    <t>TEIXEIRA</t>
  </si>
  <si>
    <t>SEPARACAO</t>
  </si>
  <si>
    <t>CALCULADORA DA SEPARACAO</t>
  </si>
  <si>
    <t>QUANTIDADE</t>
  </si>
  <si>
    <t>GUARAPUAVA</t>
  </si>
  <si>
    <t>P.G CENTRO</t>
  </si>
  <si>
    <t>REGIME</t>
  </si>
  <si>
    <t>TOALHA EM METRO</t>
  </si>
  <si>
    <t>TOALHA EM METRO TRANSPARENTE</t>
  </si>
  <si>
    <t>CORTINA BLACK OUT 1,40 X 1,00</t>
  </si>
  <si>
    <t>CORTINA DE BOX 1,80 X 1,20</t>
  </si>
  <si>
    <t>CAPA MAQ. DE LAVAR 12/17KG</t>
  </si>
  <si>
    <t>CAPA MAQ. DE LAVAR 7/11KG</t>
  </si>
  <si>
    <t>VARAO DE CORTINA 1,5M BRANCO</t>
  </si>
  <si>
    <t>VARAO DE CORTINA 2M BRANCO</t>
  </si>
  <si>
    <t>VARAO DE CORTINA 2,5M BRANCO</t>
  </si>
  <si>
    <t>VARAO DE CORTINA 1,5M IMBUIA</t>
  </si>
  <si>
    <t>VARAO DE CORTINA 2M IMBUIA</t>
  </si>
  <si>
    <t>VARAO DE CORTINA 2,5M IMBUIA</t>
  </si>
  <si>
    <t>VARAO DE CORTINA 1,5M BEGE</t>
  </si>
  <si>
    <t>VARAO DE CORTINA 2M BEGE</t>
  </si>
  <si>
    <t>VARAO DE CORTINA 2,5M BEGE</t>
  </si>
  <si>
    <t>VARAO 2M ROSA</t>
  </si>
  <si>
    <t>VARAO 2M AZUL</t>
  </si>
  <si>
    <t xml:space="preserve">  PEDIDO FATURAR NO PRESUMIDO CREDITO DE 12%</t>
  </si>
  <si>
    <t>VR VAROES</t>
  </si>
  <si>
    <t>RODRIGO</t>
  </si>
  <si>
    <t>BOLETO 30/45/60/75/90/105</t>
  </si>
  <si>
    <t>CIF</t>
  </si>
  <si>
    <t>NÃO</t>
  </si>
  <si>
    <t>PRESUMIDO</t>
  </si>
  <si>
    <t>IMEDIATO</t>
  </si>
  <si>
    <t xml:space="preserve">MANDAR SEM FALTA 1 EXPOSITOR DE TOALHAS COM CORTE E 1 DE VARAO </t>
  </si>
  <si>
    <t>MANDAR 2 EXPOSITOR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</si>
</sst>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Arial"/>
      <family val="2"/>
    </font>
    <font>
      <sz val="9"/>
      <color theme="1"/>
      <name val="Calibri"/>
      <family val="2"/>
      <scheme val="minor"/>
    </font>
    <font>
      <b/>
      <sz val="8"/>
      <color rgb="FFFF0000"/>
      <name val="Arial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36"/>
      <name val="Arial"/>
      <family val="2"/>
    </font>
    <font>
      <sz val="11"/>
      <color theme="1"/>
      <name val="AngsanaUPC"/>
      <family val="1"/>
    </font>
    <font>
      <b/>
      <sz val="11"/>
      <color theme="1"/>
      <name val="Arial"/>
      <family val="2"/>
    </font>
    <font>
      <b/>
      <sz val="20"/>
      <name val="Arial"/>
      <family val="2"/>
    </font>
    <font>
      <b/>
      <sz val="22"/>
      <color theme="1"/>
      <name val="Arial"/>
      <family val="2"/>
    </font>
    <font>
      <sz val="2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6"/>
      <color theme="1"/>
      <name val="Al Bayan Plain"/>
    </font>
    <font>
      <b/>
      <sz val="14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4" fontId="9" fillId="0" borderId="0" applyFont="0" applyFill="0" applyBorder="0" applyAlignment="0" applyProtection="0"/>
  </cellStyleXfs>
  <cellXfs count="22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10" fillId="0" borderId="1" xfId="2" applyNumberFormat="1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1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10" fontId="2" fillId="8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8" fontId="4" fillId="2" borderId="5" xfId="0" applyNumberFormat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2" fillId="7" borderId="1" xfId="0" applyFont="1" applyFill="1" applyBorder="1"/>
    <xf numFmtId="0" fontId="2" fillId="0" borderId="1" xfId="0" applyFont="1" applyBorder="1"/>
    <xf numFmtId="0" fontId="18" fillId="0" borderId="1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4" borderId="2" xfId="0" applyFont="1" applyFill="1" applyBorder="1" applyAlignment="1">
      <alignment horizontal="center"/>
    </xf>
    <xf numFmtId="0" fontId="5" fillId="14" borderId="5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0" fillId="16" borderId="1" xfId="0" applyFill="1" applyBorder="1" applyAlignment="1">
      <alignment horizontal="center"/>
    </xf>
    <xf numFmtId="1" fontId="0" fillId="16" borderId="1" xfId="0" applyNumberFormat="1" applyFill="1" applyBorder="1" applyAlignment="1">
      <alignment horizontal="center" vertical="center"/>
    </xf>
    <xf numFmtId="1" fontId="0" fillId="17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8" fillId="4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8" fillId="2" borderId="9" xfId="0" applyFont="1" applyFill="1" applyBorder="1" applyAlignment="1">
      <alignment horizontal="center" vertical="center" wrapText="1"/>
    </xf>
    <xf numFmtId="0" fontId="28" fillId="2" borderId="10" xfId="0" applyFont="1" applyFill="1" applyBorder="1" applyAlignment="1">
      <alignment horizontal="center" vertical="center" wrapText="1"/>
    </xf>
    <xf numFmtId="0" fontId="28" fillId="2" borderId="11" xfId="0" applyFont="1" applyFill="1" applyBorder="1" applyAlignment="1">
      <alignment horizontal="center" vertical="center" wrapText="1"/>
    </xf>
    <xf numFmtId="0" fontId="28" fillId="2" borderId="13" xfId="0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  <xf numFmtId="0" fontId="28" fillId="2" borderId="14" xfId="0" applyFont="1" applyFill="1" applyBorder="1" applyAlignment="1">
      <alignment horizontal="center" vertical="center" wrapText="1"/>
    </xf>
    <xf numFmtId="0" fontId="28" fillId="2" borderId="6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4" fontId="11" fillId="0" borderId="5" xfId="0" applyNumberFormat="1" applyFont="1" applyBorder="1" applyAlignment="1">
      <alignment horizontal="center"/>
    </xf>
    <xf numFmtId="14" fontId="3" fillId="0" borderId="1" xfId="1" applyNumberFormat="1" applyBorder="1" applyAlignment="1">
      <alignment horizontal="center"/>
    </xf>
    <xf numFmtId="14" fontId="11" fillId="0" borderId="1" xfId="0" applyNumberFormat="1" applyFont="1" applyBorder="1" applyAlignment="1">
      <alignment horizontal="center"/>
    </xf>
    <xf numFmtId="14" fontId="11" fillId="6" borderId="12" xfId="0" applyNumberFormat="1" applyFont="1" applyFill="1" applyBorder="1" applyAlignment="1">
      <alignment horizontal="center"/>
    </xf>
    <xf numFmtId="0" fontId="17" fillId="18" borderId="1" xfId="0" applyFont="1" applyFill="1" applyBorder="1" applyAlignment="1">
      <alignment horizontal="center"/>
    </xf>
    <xf numFmtId="9" fontId="0" fillId="4" borderId="2" xfId="0" applyNumberFormat="1" applyFill="1" applyBorder="1" applyAlignment="1">
      <alignment horizontal="center" vertical="center" wrapText="1"/>
    </xf>
    <xf numFmtId="9" fontId="0" fillId="4" borderId="4" xfId="0" applyNumberFormat="1" applyFill="1" applyBorder="1" applyAlignment="1">
      <alignment horizontal="center" vertical="center" wrapText="1"/>
    </xf>
    <xf numFmtId="164" fontId="0" fillId="4" borderId="2" xfId="0" applyNumberFormat="1" applyFill="1" applyBorder="1" applyAlignment="1">
      <alignment horizontal="center" vertical="center" wrapText="1"/>
    </xf>
    <xf numFmtId="164" fontId="0" fillId="4" borderId="4" xfId="0" applyNumberFormat="1" applyFill="1" applyBorder="1" applyAlignment="1">
      <alignment horizontal="center" vertical="center" wrapText="1"/>
    </xf>
    <xf numFmtId="164" fontId="0" fillId="4" borderId="2" xfId="2" applyNumberFormat="1" applyFont="1" applyFill="1" applyBorder="1" applyAlignment="1">
      <alignment horizontal="center" vertical="center" wrapText="1"/>
    </xf>
    <xf numFmtId="164" fontId="0" fillId="4" borderId="3" xfId="2" applyNumberFormat="1" applyFont="1" applyFill="1" applyBorder="1" applyAlignment="1">
      <alignment horizontal="center" vertical="center" wrapText="1"/>
    </xf>
    <xf numFmtId="164" fontId="0" fillId="4" borderId="4" xfId="2" applyNumberFormat="1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9" fontId="1" fillId="4" borderId="2" xfId="0" applyNumberFormat="1" applyFont="1" applyFill="1" applyBorder="1" applyAlignment="1">
      <alignment horizontal="center" vertical="center" wrapText="1"/>
    </xf>
    <xf numFmtId="9" fontId="1" fillId="4" borderId="4" xfId="0" applyNumberFormat="1" applyFont="1" applyFill="1" applyBorder="1" applyAlignment="1">
      <alignment horizontal="center" vertical="center" wrapText="1"/>
    </xf>
    <xf numFmtId="9" fontId="20" fillId="4" borderId="2" xfId="0" applyNumberFormat="1" applyFont="1" applyFill="1" applyBorder="1" applyAlignment="1">
      <alignment horizontal="center" vertical="center" wrapText="1"/>
    </xf>
    <xf numFmtId="9" fontId="20" fillId="4" borderId="4" xfId="0" applyNumberFormat="1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13" borderId="2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23" fillId="14" borderId="9" xfId="0" applyFont="1" applyFill="1" applyBorder="1" applyAlignment="1">
      <alignment horizontal="center" vertical="center"/>
    </xf>
    <xf numFmtId="0" fontId="23" fillId="14" borderId="10" xfId="0" applyFont="1" applyFill="1" applyBorder="1" applyAlignment="1">
      <alignment horizontal="center" vertical="center"/>
    </xf>
    <xf numFmtId="0" fontId="23" fillId="14" borderId="11" xfId="0" applyFont="1" applyFill="1" applyBorder="1" applyAlignment="1">
      <alignment horizontal="center" vertical="center"/>
    </xf>
    <xf numFmtId="0" fontId="23" fillId="14" borderId="6" xfId="0" applyFont="1" applyFill="1" applyBorder="1" applyAlignment="1">
      <alignment horizontal="center" vertical="center"/>
    </xf>
    <xf numFmtId="0" fontId="23" fillId="14" borderId="7" xfId="0" applyFont="1" applyFill="1" applyBorder="1" applyAlignment="1">
      <alignment horizontal="center" vertical="center"/>
    </xf>
    <xf numFmtId="0" fontId="23" fillId="14" borderId="8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center"/>
    </xf>
    <xf numFmtId="14" fontId="22" fillId="0" borderId="1" xfId="0" applyNumberFormat="1" applyFont="1" applyBorder="1" applyAlignment="1">
      <alignment horizontal="center"/>
    </xf>
    <xf numFmtId="0" fontId="0" fillId="13" borderId="1" xfId="0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9" fillId="12" borderId="13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0" fontId="8" fillId="15" borderId="6" xfId="0" applyFont="1" applyFill="1" applyBorder="1" applyAlignment="1">
      <alignment horizontal="center" vertical="center" wrapText="1"/>
    </xf>
    <xf numFmtId="0" fontId="8" fillId="15" borderId="8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9" fontId="4" fillId="4" borderId="1" xfId="0" applyNumberFormat="1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14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27" fillId="11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" fontId="24" fillId="13" borderId="1" xfId="0" applyNumberFormat="1" applyFont="1" applyFill="1" applyBorder="1" applyAlignment="1">
      <alignment horizontal="center" vertical="center"/>
    </xf>
    <xf numFmtId="0" fontId="25" fillId="15" borderId="1" xfId="0" applyFont="1" applyFill="1" applyBorder="1" applyAlignment="1">
      <alignment horizontal="center" vertical="center"/>
    </xf>
    <xf numFmtId="1" fontId="0" fillId="7" borderId="12" xfId="0" applyNumberFormat="1" applyFill="1" applyBorder="1" applyAlignment="1">
      <alignment horizontal="center"/>
    </xf>
    <xf numFmtId="1" fontId="0" fillId="7" borderId="15" xfId="0" applyNumberFormat="1" applyFill="1" applyBorder="1" applyAlignment="1">
      <alignment horizontal="center"/>
    </xf>
    <xf numFmtId="1" fontId="0" fillId="7" borderId="5" xfId="0" applyNumberFormat="1" applyFill="1" applyBorder="1" applyAlignment="1">
      <alignment horizontal="center"/>
    </xf>
  </cellXfs>
  <cellStyles count="3">
    <cellStyle name="Hiperlink" xfId="1" builtinId="8"/>
    <cellStyle name="Moeda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145026</xdr:colOff>
      <xdr:row>8</xdr:row>
      <xdr:rowOff>122943</xdr:rowOff>
    </xdr:from>
    <xdr:to>
      <xdr:col>24</xdr:col>
      <xdr:colOff>287868</xdr:colOff>
      <xdr:row>40</xdr:row>
      <xdr:rowOff>161766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F0A0202-2D04-CF56-8D25-058A6603D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7826" y="2188810"/>
          <a:ext cx="4003642" cy="59993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s.conecta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ls.conecta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54"/>
  <sheetViews>
    <sheetView tabSelected="1" zoomScaleNormal="100" workbookViewId="0">
      <pane ySplit="8" topLeftCell="A64" activePane="bottomLeft" state="frozen"/>
      <selection pane="bottomLeft" activeCell="I3" sqref="I3"/>
    </sheetView>
  </sheetViews>
  <sheetFormatPr baseColWidth="10" defaultColWidth="9.1640625" defaultRowHeight="15" x14ac:dyDescent="0.2"/>
  <cols>
    <col min="1" max="1" width="13.1640625" style="2" customWidth="1"/>
    <col min="2" max="3" width="9.1640625" style="2"/>
    <col min="4" max="5" width="9.1640625" style="2" customWidth="1"/>
    <col min="6" max="7" width="6.5" style="2" customWidth="1"/>
    <col min="8" max="8" width="13.33203125" style="2" bestFit="1" customWidth="1"/>
    <col min="9" max="9" width="17.1640625" style="2" customWidth="1"/>
    <col min="10" max="10" width="9.33203125" style="1" customWidth="1"/>
    <col min="11" max="29" width="4.1640625" style="2" customWidth="1"/>
    <col min="30" max="30" width="9.1640625" style="2"/>
    <col min="31" max="31" width="10" style="2" customWidth="1"/>
    <col min="32" max="34" width="9.1640625" style="2"/>
  </cols>
  <sheetData>
    <row r="1" spans="1:34" ht="39" customHeight="1" x14ac:dyDescent="0.2">
      <c r="A1" s="74" t="s">
        <v>30</v>
      </c>
      <c r="B1" s="74"/>
      <c r="C1" s="74"/>
      <c r="D1" s="74"/>
      <c r="E1" s="74"/>
      <c r="F1" s="74"/>
      <c r="G1" s="74"/>
      <c r="H1" s="74"/>
      <c r="I1" s="74"/>
      <c r="J1" s="136" t="s">
        <v>23</v>
      </c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</row>
    <row r="2" spans="1:34" x14ac:dyDescent="0.2">
      <c r="A2" s="17" t="s">
        <v>12</v>
      </c>
      <c r="B2" s="18"/>
      <c r="C2" s="17"/>
      <c r="D2" s="19"/>
      <c r="E2" s="81" t="s">
        <v>7</v>
      </c>
      <c r="F2" s="82"/>
      <c r="G2" s="83"/>
      <c r="H2" s="31" t="s">
        <v>8</v>
      </c>
      <c r="I2" s="29">
        <v>46213</v>
      </c>
      <c r="J2" s="145" t="s">
        <v>10</v>
      </c>
      <c r="K2" s="145"/>
      <c r="L2" s="145"/>
      <c r="M2" s="145"/>
      <c r="N2" s="145"/>
      <c r="O2" s="145"/>
      <c r="P2" s="145"/>
      <c r="Q2" s="145"/>
      <c r="R2" s="142" t="s">
        <v>35</v>
      </c>
      <c r="S2" s="142"/>
      <c r="T2" s="142"/>
      <c r="U2" s="142"/>
      <c r="V2" s="142"/>
      <c r="W2" s="142"/>
      <c r="X2" s="142"/>
      <c r="Y2" s="142"/>
      <c r="Z2" s="142"/>
      <c r="AA2" s="142"/>
    </row>
    <row r="3" spans="1:34" x14ac:dyDescent="0.2">
      <c r="A3" s="13" t="s">
        <v>4</v>
      </c>
      <c r="B3" s="84" t="s">
        <v>99</v>
      </c>
      <c r="C3" s="85"/>
      <c r="D3" s="86"/>
      <c r="E3" s="84"/>
      <c r="F3" s="85"/>
      <c r="G3" s="86"/>
      <c r="H3" s="32" t="s">
        <v>9</v>
      </c>
      <c r="I3" s="28" t="s">
        <v>105</v>
      </c>
      <c r="J3" s="146" t="s">
        <v>44</v>
      </c>
      <c r="K3" s="146"/>
      <c r="L3" s="146"/>
      <c r="M3" s="146"/>
      <c r="N3" s="146"/>
      <c r="O3" s="146"/>
      <c r="P3" s="146"/>
      <c r="Q3" s="146"/>
      <c r="R3" s="143" t="s">
        <v>36</v>
      </c>
      <c r="S3" s="143"/>
      <c r="T3" s="143"/>
      <c r="U3" s="143"/>
      <c r="V3" s="143"/>
      <c r="W3" s="143"/>
      <c r="X3" s="143"/>
      <c r="Y3" s="143"/>
      <c r="Z3" s="143"/>
      <c r="AA3" s="143"/>
    </row>
    <row r="4" spans="1:34" ht="15" customHeight="1" x14ac:dyDescent="0.2">
      <c r="A4" s="13" t="s">
        <v>2</v>
      </c>
      <c r="B4" s="84" t="s">
        <v>100</v>
      </c>
      <c r="C4" s="85"/>
      <c r="D4" s="86"/>
      <c r="E4" s="84"/>
      <c r="F4" s="85"/>
      <c r="G4" s="86"/>
      <c r="H4" s="32" t="s">
        <v>11</v>
      </c>
      <c r="I4" s="30">
        <v>1</v>
      </c>
      <c r="J4" s="147" t="s">
        <v>21</v>
      </c>
      <c r="K4" s="147"/>
      <c r="L4" s="147"/>
      <c r="M4" s="147"/>
      <c r="N4" s="147"/>
      <c r="O4" s="147"/>
      <c r="P4" s="147"/>
      <c r="Q4" s="147"/>
      <c r="R4" s="141" t="s">
        <v>42</v>
      </c>
      <c r="S4" s="141"/>
      <c r="T4" s="141"/>
      <c r="U4" s="141"/>
      <c r="V4" s="141"/>
      <c r="W4" s="141"/>
      <c r="X4" s="141"/>
      <c r="Y4" s="141"/>
      <c r="Z4" s="141"/>
      <c r="AA4" s="141"/>
    </row>
    <row r="5" spans="1:34" x14ac:dyDescent="0.2">
      <c r="A5" s="13" t="s">
        <v>5</v>
      </c>
      <c r="B5" s="84" t="s">
        <v>101</v>
      </c>
      <c r="C5" s="85"/>
      <c r="D5" s="85"/>
      <c r="E5" s="85"/>
      <c r="F5" s="85"/>
      <c r="G5" s="86"/>
      <c r="H5" s="33" t="s">
        <v>3</v>
      </c>
      <c r="I5" s="34"/>
      <c r="J5" s="148" t="s">
        <v>31</v>
      </c>
      <c r="K5" s="148"/>
      <c r="L5" s="148"/>
      <c r="M5" s="148"/>
      <c r="N5" s="148"/>
      <c r="O5" s="148"/>
      <c r="P5" s="148"/>
      <c r="Q5" s="148"/>
      <c r="R5" s="141"/>
      <c r="S5" s="141"/>
      <c r="T5" s="141"/>
      <c r="U5" s="141"/>
      <c r="V5" s="141"/>
      <c r="W5" s="141"/>
      <c r="X5" s="141"/>
      <c r="Y5" s="141"/>
      <c r="Z5" s="141"/>
      <c r="AA5" s="141"/>
    </row>
    <row r="6" spans="1:34" x14ac:dyDescent="0.2">
      <c r="A6" s="13" t="s">
        <v>80</v>
      </c>
      <c r="B6" s="149" t="s">
        <v>104</v>
      </c>
      <c r="C6" s="149"/>
      <c r="D6" s="149"/>
      <c r="E6" s="149"/>
      <c r="F6" s="149"/>
      <c r="G6" s="149"/>
      <c r="H6" s="149"/>
      <c r="I6" s="149"/>
      <c r="J6" s="149"/>
      <c r="K6" s="65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7"/>
    </row>
    <row r="7" spans="1:34" s="2" customFormat="1" x14ac:dyDescent="0.2">
      <c r="A7" s="13" t="s">
        <v>24</v>
      </c>
      <c r="B7" s="20" t="s">
        <v>19</v>
      </c>
      <c r="C7" s="21" t="s">
        <v>102</v>
      </c>
      <c r="D7" s="20" t="s">
        <v>25</v>
      </c>
      <c r="E7" s="22" t="s">
        <v>103</v>
      </c>
      <c r="F7" s="20" t="s">
        <v>26</v>
      </c>
      <c r="G7" s="22" t="s">
        <v>103</v>
      </c>
      <c r="H7" s="20" t="s">
        <v>27</v>
      </c>
      <c r="I7" s="36" t="s">
        <v>39</v>
      </c>
      <c r="J7" s="35"/>
      <c r="K7" s="68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70"/>
    </row>
    <row r="8" spans="1:34" ht="36" customHeight="1" x14ac:dyDescent="0.2">
      <c r="A8" s="14" t="s">
        <v>20</v>
      </c>
      <c r="B8" s="87" t="s">
        <v>15</v>
      </c>
      <c r="C8" s="88"/>
      <c r="D8" s="88"/>
      <c r="E8" s="89"/>
      <c r="F8" s="25" t="s">
        <v>0</v>
      </c>
      <c r="G8" s="25" t="s">
        <v>1</v>
      </c>
      <c r="H8" s="25" t="s">
        <v>13</v>
      </c>
      <c r="I8" s="26"/>
      <c r="J8" s="27" t="s">
        <v>14</v>
      </c>
      <c r="K8" s="71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3"/>
      <c r="AB8" s="24"/>
      <c r="AC8" s="24"/>
      <c r="AD8" s="24"/>
      <c r="AE8" s="23"/>
      <c r="AF8" s="23"/>
      <c r="AG8" s="23"/>
      <c r="AH8" s="23"/>
    </row>
    <row r="9" spans="1:34" x14ac:dyDescent="0.2">
      <c r="A9" s="7"/>
      <c r="B9" s="75" t="s">
        <v>81</v>
      </c>
      <c r="C9" s="76"/>
      <c r="D9" s="76"/>
      <c r="E9" s="77"/>
      <c r="F9" s="5">
        <v>30</v>
      </c>
      <c r="G9" s="5"/>
      <c r="H9" s="5">
        <f t="shared" ref="H9:H44" si="0">F9*G9</f>
        <v>0</v>
      </c>
      <c r="I9" s="4">
        <v>5.2</v>
      </c>
      <c r="J9" s="8">
        <f>H9*I9</f>
        <v>0</v>
      </c>
      <c r="K9" s="96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8"/>
    </row>
    <row r="10" spans="1:34" x14ac:dyDescent="0.2">
      <c r="A10" s="5"/>
      <c r="B10" s="75" t="s">
        <v>82</v>
      </c>
      <c r="C10" s="76"/>
      <c r="D10" s="76"/>
      <c r="E10" s="77"/>
      <c r="F10" s="5">
        <v>30</v>
      </c>
      <c r="G10" s="5"/>
      <c r="H10" s="5">
        <f t="shared" si="0"/>
        <v>0</v>
      </c>
      <c r="I10" s="4"/>
      <c r="J10" s="8">
        <f t="shared" ref="J10:J75" si="1">H10*I10</f>
        <v>0</v>
      </c>
      <c r="K10" s="99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1"/>
    </row>
    <row r="11" spans="1:34" x14ac:dyDescent="0.2">
      <c r="A11" s="5"/>
      <c r="B11" s="75" t="s">
        <v>83</v>
      </c>
      <c r="C11" s="76"/>
      <c r="D11" s="76"/>
      <c r="E11" s="77"/>
      <c r="F11" s="5">
        <v>50</v>
      </c>
      <c r="G11" s="5"/>
      <c r="H11" s="5">
        <f t="shared" si="0"/>
        <v>0</v>
      </c>
      <c r="I11" s="4">
        <v>7.5</v>
      </c>
      <c r="J11" s="8">
        <f t="shared" si="1"/>
        <v>0</v>
      </c>
      <c r="K11" s="99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1"/>
    </row>
    <row r="12" spans="1:34" x14ac:dyDescent="0.2">
      <c r="A12" s="5"/>
      <c r="B12" s="75" t="s">
        <v>84</v>
      </c>
      <c r="C12" s="76"/>
      <c r="D12" s="76"/>
      <c r="E12" s="77"/>
      <c r="F12" s="5">
        <v>50</v>
      </c>
      <c r="G12" s="5"/>
      <c r="H12" s="5">
        <f t="shared" si="0"/>
        <v>0</v>
      </c>
      <c r="I12" s="4"/>
      <c r="J12" s="8">
        <f t="shared" si="1"/>
        <v>0</v>
      </c>
      <c r="K12" s="99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1"/>
    </row>
    <row r="13" spans="1:34" x14ac:dyDescent="0.2">
      <c r="A13" s="5"/>
      <c r="B13" s="75" t="s">
        <v>85</v>
      </c>
      <c r="C13" s="76"/>
      <c r="D13" s="76"/>
      <c r="E13" s="77"/>
      <c r="F13" s="5">
        <v>25</v>
      </c>
      <c r="G13" s="5"/>
      <c r="H13" s="5">
        <f t="shared" si="0"/>
        <v>0</v>
      </c>
      <c r="I13" s="4">
        <v>7.5</v>
      </c>
      <c r="J13" s="8">
        <f t="shared" si="1"/>
        <v>0</v>
      </c>
      <c r="K13" s="99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1"/>
    </row>
    <row r="14" spans="1:34" x14ac:dyDescent="0.2">
      <c r="A14" s="5"/>
      <c r="B14" s="75" t="s">
        <v>86</v>
      </c>
      <c r="C14" s="76"/>
      <c r="D14" s="76"/>
      <c r="E14" s="77"/>
      <c r="F14" s="5">
        <v>25</v>
      </c>
      <c r="G14" s="5"/>
      <c r="H14" s="5">
        <f t="shared" si="0"/>
        <v>0</v>
      </c>
      <c r="I14" s="4">
        <v>7.5</v>
      </c>
      <c r="J14" s="8">
        <f t="shared" si="1"/>
        <v>0</v>
      </c>
      <c r="K14" s="99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1"/>
    </row>
    <row r="15" spans="1:34" x14ac:dyDescent="0.2">
      <c r="A15" s="5"/>
      <c r="B15" s="78" t="s">
        <v>87</v>
      </c>
      <c r="C15" s="79"/>
      <c r="D15" s="79"/>
      <c r="E15" s="80"/>
      <c r="F15" s="5">
        <v>10</v>
      </c>
      <c r="G15" s="5">
        <v>40</v>
      </c>
      <c r="H15" s="5">
        <f t="shared" si="0"/>
        <v>400</v>
      </c>
      <c r="I15" s="4">
        <v>5.6</v>
      </c>
      <c r="J15" s="8">
        <f t="shared" si="1"/>
        <v>2240</v>
      </c>
      <c r="K15" s="99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1"/>
    </row>
    <row r="16" spans="1:34" x14ac:dyDescent="0.2">
      <c r="A16" s="5"/>
      <c r="B16" s="78" t="s">
        <v>88</v>
      </c>
      <c r="C16" s="79"/>
      <c r="D16" s="79"/>
      <c r="E16" s="80"/>
      <c r="F16" s="5">
        <v>10</v>
      </c>
      <c r="G16" s="5">
        <v>40</v>
      </c>
      <c r="H16" s="5">
        <f t="shared" si="0"/>
        <v>400</v>
      </c>
      <c r="I16" s="4">
        <v>6.5</v>
      </c>
      <c r="J16" s="8">
        <f t="shared" si="1"/>
        <v>2600</v>
      </c>
      <c r="K16" s="99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1"/>
    </row>
    <row r="17" spans="1:27" x14ac:dyDescent="0.2">
      <c r="A17" s="5"/>
      <c r="B17" s="78" t="s">
        <v>89</v>
      </c>
      <c r="C17" s="79"/>
      <c r="D17" s="79"/>
      <c r="E17" s="80"/>
      <c r="F17" s="5">
        <v>10</v>
      </c>
      <c r="G17" s="5">
        <v>40</v>
      </c>
      <c r="H17" s="5">
        <f t="shared" si="0"/>
        <v>400</v>
      </c>
      <c r="I17" s="4">
        <v>7.6</v>
      </c>
      <c r="J17" s="8">
        <f t="shared" si="1"/>
        <v>3040</v>
      </c>
      <c r="K17" s="99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1"/>
    </row>
    <row r="18" spans="1:27" x14ac:dyDescent="0.2">
      <c r="A18" s="5"/>
      <c r="B18" s="78" t="s">
        <v>90</v>
      </c>
      <c r="C18" s="79"/>
      <c r="D18" s="79"/>
      <c r="E18" s="80"/>
      <c r="F18" s="5">
        <v>10</v>
      </c>
      <c r="G18" s="5">
        <v>40</v>
      </c>
      <c r="H18" s="5">
        <f t="shared" si="0"/>
        <v>400</v>
      </c>
      <c r="I18" s="4">
        <v>5.6</v>
      </c>
      <c r="J18" s="8">
        <f t="shared" si="1"/>
        <v>2240</v>
      </c>
      <c r="K18" s="99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1"/>
    </row>
    <row r="19" spans="1:27" x14ac:dyDescent="0.2">
      <c r="A19" s="5"/>
      <c r="B19" s="78" t="s">
        <v>91</v>
      </c>
      <c r="C19" s="79"/>
      <c r="D19" s="79"/>
      <c r="E19" s="80"/>
      <c r="F19" s="5">
        <v>10</v>
      </c>
      <c r="G19" s="5">
        <v>60</v>
      </c>
      <c r="H19" s="5">
        <f t="shared" si="0"/>
        <v>600</v>
      </c>
      <c r="I19" s="4">
        <v>6.5</v>
      </c>
      <c r="J19" s="8">
        <f t="shared" si="1"/>
        <v>3900</v>
      </c>
      <c r="K19" s="99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1"/>
    </row>
    <row r="20" spans="1:27" x14ac:dyDescent="0.2">
      <c r="A20" s="5"/>
      <c r="B20" s="78" t="s">
        <v>92</v>
      </c>
      <c r="C20" s="79"/>
      <c r="D20" s="79"/>
      <c r="E20" s="80"/>
      <c r="F20" s="5">
        <v>10</v>
      </c>
      <c r="G20" s="5">
        <v>40</v>
      </c>
      <c r="H20" s="5">
        <f t="shared" si="0"/>
        <v>400</v>
      </c>
      <c r="I20" s="4">
        <v>7.6</v>
      </c>
      <c r="J20" s="8">
        <f t="shared" si="1"/>
        <v>3040</v>
      </c>
      <c r="K20" s="99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1"/>
    </row>
    <row r="21" spans="1:27" x14ac:dyDescent="0.2">
      <c r="A21" s="5"/>
      <c r="B21" s="78" t="s">
        <v>93</v>
      </c>
      <c r="C21" s="79"/>
      <c r="D21" s="79"/>
      <c r="E21" s="80"/>
      <c r="F21" s="5">
        <v>10</v>
      </c>
      <c r="G21" s="5">
        <v>40</v>
      </c>
      <c r="H21" s="5">
        <f t="shared" si="0"/>
        <v>400</v>
      </c>
      <c r="I21" s="4">
        <v>5.6</v>
      </c>
      <c r="J21" s="8">
        <f t="shared" si="1"/>
        <v>2240</v>
      </c>
      <c r="K21" s="99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1"/>
    </row>
    <row r="22" spans="1:27" x14ac:dyDescent="0.2">
      <c r="A22" s="5"/>
      <c r="B22" s="78" t="s">
        <v>94</v>
      </c>
      <c r="C22" s="79"/>
      <c r="D22" s="79"/>
      <c r="E22" s="80"/>
      <c r="F22" s="5">
        <v>10</v>
      </c>
      <c r="G22" s="5">
        <v>40</v>
      </c>
      <c r="H22" s="5">
        <f t="shared" si="0"/>
        <v>400</v>
      </c>
      <c r="I22" s="4">
        <v>6.5</v>
      </c>
      <c r="J22" s="8">
        <f t="shared" si="1"/>
        <v>2600</v>
      </c>
      <c r="K22" s="99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1"/>
    </row>
    <row r="23" spans="1:27" x14ac:dyDescent="0.2">
      <c r="A23" s="5"/>
      <c r="B23" s="78" t="s">
        <v>95</v>
      </c>
      <c r="C23" s="79"/>
      <c r="D23" s="79"/>
      <c r="E23" s="80"/>
      <c r="F23" s="5">
        <v>10</v>
      </c>
      <c r="G23" s="5">
        <v>40</v>
      </c>
      <c r="H23" s="5">
        <f t="shared" si="0"/>
        <v>400</v>
      </c>
      <c r="I23" s="4">
        <v>7.6</v>
      </c>
      <c r="J23" s="8">
        <f t="shared" si="1"/>
        <v>3040</v>
      </c>
      <c r="K23" s="99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1"/>
    </row>
    <row r="24" spans="1:27" x14ac:dyDescent="0.2">
      <c r="A24" s="5"/>
      <c r="B24" s="78" t="s">
        <v>96</v>
      </c>
      <c r="C24" s="79"/>
      <c r="D24" s="79"/>
      <c r="E24" s="80"/>
      <c r="F24" s="5">
        <v>10</v>
      </c>
      <c r="G24" s="5">
        <v>50</v>
      </c>
      <c r="H24" s="5">
        <f t="shared" si="0"/>
        <v>500</v>
      </c>
      <c r="I24" s="4">
        <v>6.5</v>
      </c>
      <c r="J24" s="8">
        <f t="shared" si="1"/>
        <v>3250</v>
      </c>
      <c r="K24" s="99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1"/>
    </row>
    <row r="25" spans="1:27" x14ac:dyDescent="0.2">
      <c r="A25" s="5"/>
      <c r="B25" s="78" t="s">
        <v>97</v>
      </c>
      <c r="C25" s="79"/>
      <c r="D25" s="79"/>
      <c r="E25" s="80"/>
      <c r="F25" s="5">
        <v>10</v>
      </c>
      <c r="G25" s="5">
        <v>50</v>
      </c>
      <c r="H25" s="5">
        <f t="shared" si="0"/>
        <v>500</v>
      </c>
      <c r="I25" s="4">
        <v>6.5</v>
      </c>
      <c r="J25" s="8">
        <f t="shared" si="1"/>
        <v>3250</v>
      </c>
      <c r="K25" s="99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1"/>
    </row>
    <row r="26" spans="1:27" x14ac:dyDescent="0.2">
      <c r="A26" s="5"/>
      <c r="B26" s="75"/>
      <c r="C26" s="76"/>
      <c r="D26" s="76"/>
      <c r="E26" s="77"/>
      <c r="F26" s="5"/>
      <c r="G26" s="5"/>
      <c r="H26" s="5">
        <f t="shared" si="0"/>
        <v>0</v>
      </c>
      <c r="I26" s="4"/>
      <c r="J26" s="8">
        <f t="shared" si="1"/>
        <v>0</v>
      </c>
      <c r="K26" s="99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1"/>
    </row>
    <row r="27" spans="1:27" x14ac:dyDescent="0.2">
      <c r="A27" s="5"/>
      <c r="B27" s="75"/>
      <c r="C27" s="76"/>
      <c r="D27" s="76"/>
      <c r="E27" s="77"/>
      <c r="F27" s="5"/>
      <c r="G27" s="5"/>
      <c r="H27" s="5">
        <f t="shared" si="0"/>
        <v>0</v>
      </c>
      <c r="I27" s="4"/>
      <c r="J27" s="8">
        <f t="shared" si="1"/>
        <v>0</v>
      </c>
      <c r="K27" s="99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1"/>
    </row>
    <row r="28" spans="1:27" x14ac:dyDescent="0.2">
      <c r="A28" s="114" t="s">
        <v>98</v>
      </c>
      <c r="B28" s="115"/>
      <c r="C28" s="115"/>
      <c r="D28" s="115"/>
      <c r="E28" s="115"/>
      <c r="F28" s="115"/>
      <c r="G28" s="116"/>
      <c r="H28" s="5">
        <f t="shared" si="0"/>
        <v>0</v>
      </c>
      <c r="I28" s="4"/>
      <c r="J28" s="8">
        <f t="shared" si="1"/>
        <v>0</v>
      </c>
      <c r="K28" s="99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1"/>
    </row>
    <row r="29" spans="1:27" x14ac:dyDescent="0.2">
      <c r="A29" s="117"/>
      <c r="B29" s="118"/>
      <c r="C29" s="118"/>
      <c r="D29" s="118"/>
      <c r="E29" s="118"/>
      <c r="F29" s="118"/>
      <c r="G29" s="119"/>
      <c r="H29" s="5">
        <f t="shared" si="0"/>
        <v>0</v>
      </c>
      <c r="I29" s="4"/>
      <c r="J29" s="8">
        <f t="shared" si="1"/>
        <v>0</v>
      </c>
      <c r="K29" s="99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1"/>
    </row>
    <row r="30" spans="1:27" x14ac:dyDescent="0.2">
      <c r="A30" s="120"/>
      <c r="B30" s="121"/>
      <c r="C30" s="121"/>
      <c r="D30" s="121"/>
      <c r="E30" s="121"/>
      <c r="F30" s="121"/>
      <c r="G30" s="122"/>
      <c r="H30" s="5">
        <f t="shared" si="0"/>
        <v>0</v>
      </c>
      <c r="I30" s="4"/>
      <c r="J30" s="8">
        <f t="shared" si="1"/>
        <v>0</v>
      </c>
      <c r="K30" s="99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1"/>
    </row>
    <row r="31" spans="1:27" x14ac:dyDescent="0.2">
      <c r="A31" s="5"/>
      <c r="B31" s="75"/>
      <c r="C31" s="76"/>
      <c r="D31" s="76"/>
      <c r="E31" s="77"/>
      <c r="F31" s="5"/>
      <c r="G31" s="5"/>
      <c r="H31" s="5">
        <f t="shared" si="0"/>
        <v>0</v>
      </c>
      <c r="I31" s="4"/>
      <c r="J31" s="8">
        <f t="shared" si="1"/>
        <v>0</v>
      </c>
      <c r="K31" s="99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1"/>
    </row>
    <row r="32" spans="1:27" x14ac:dyDescent="0.2">
      <c r="A32" s="123" t="s">
        <v>107</v>
      </c>
      <c r="B32" s="124"/>
      <c r="C32" s="124"/>
      <c r="D32" s="124"/>
      <c r="E32" s="125"/>
      <c r="F32" s="5"/>
      <c r="G32" s="5"/>
      <c r="H32" s="5">
        <f t="shared" si="0"/>
        <v>0</v>
      </c>
      <c r="I32" s="4"/>
      <c r="J32" s="8">
        <f t="shared" si="1"/>
        <v>0</v>
      </c>
      <c r="K32" s="99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1"/>
    </row>
    <row r="33" spans="1:27" x14ac:dyDescent="0.2">
      <c r="A33" s="126"/>
      <c r="B33" s="127"/>
      <c r="C33" s="127"/>
      <c r="D33" s="127"/>
      <c r="E33" s="128"/>
      <c r="F33" s="5"/>
      <c r="G33" s="5"/>
      <c r="H33" s="5">
        <f t="shared" si="0"/>
        <v>0</v>
      </c>
      <c r="I33" s="4"/>
      <c r="J33" s="8">
        <f t="shared" si="1"/>
        <v>0</v>
      </c>
      <c r="K33" s="99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1"/>
    </row>
    <row r="34" spans="1:27" x14ac:dyDescent="0.2">
      <c r="A34" s="129"/>
      <c r="B34" s="130"/>
      <c r="C34" s="130"/>
      <c r="D34" s="130"/>
      <c r="E34" s="131"/>
      <c r="F34" s="5"/>
      <c r="G34" s="5"/>
      <c r="H34" s="5">
        <f t="shared" si="0"/>
        <v>0</v>
      </c>
      <c r="I34" s="4"/>
      <c r="J34" s="8">
        <f t="shared" si="1"/>
        <v>0</v>
      </c>
      <c r="K34" s="99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1"/>
    </row>
    <row r="35" spans="1:27" x14ac:dyDescent="0.2">
      <c r="A35" s="5"/>
      <c r="B35" s="75"/>
      <c r="C35" s="76"/>
      <c r="D35" s="76"/>
      <c r="E35" s="77"/>
      <c r="F35" s="5"/>
      <c r="G35" s="5"/>
      <c r="H35" s="5">
        <f t="shared" si="0"/>
        <v>0</v>
      </c>
      <c r="I35" s="4"/>
      <c r="J35" s="8">
        <f t="shared" si="1"/>
        <v>0</v>
      </c>
      <c r="K35" s="99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1"/>
    </row>
    <row r="36" spans="1:27" x14ac:dyDescent="0.2">
      <c r="A36" s="5"/>
      <c r="B36" s="75"/>
      <c r="C36" s="76"/>
      <c r="D36" s="76"/>
      <c r="E36" s="77"/>
      <c r="F36" s="5"/>
      <c r="G36" s="5"/>
      <c r="H36" s="5">
        <f t="shared" si="0"/>
        <v>0</v>
      </c>
      <c r="I36" s="4"/>
      <c r="J36" s="8">
        <f t="shared" si="1"/>
        <v>0</v>
      </c>
      <c r="K36" s="99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1"/>
    </row>
    <row r="37" spans="1:27" x14ac:dyDescent="0.2">
      <c r="A37" s="5"/>
      <c r="B37" s="75"/>
      <c r="C37" s="76"/>
      <c r="D37" s="76"/>
      <c r="E37" s="77"/>
      <c r="F37" s="5"/>
      <c r="G37" s="5"/>
      <c r="H37" s="5">
        <f t="shared" si="0"/>
        <v>0</v>
      </c>
      <c r="I37" s="4"/>
      <c r="J37" s="8">
        <f t="shared" si="1"/>
        <v>0</v>
      </c>
      <c r="K37" s="99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1"/>
    </row>
    <row r="38" spans="1:27" x14ac:dyDescent="0.2">
      <c r="A38" s="5"/>
      <c r="B38" s="75"/>
      <c r="C38" s="76"/>
      <c r="D38" s="76"/>
      <c r="E38" s="77"/>
      <c r="F38" s="5"/>
      <c r="G38" s="5"/>
      <c r="H38" s="5">
        <f t="shared" si="0"/>
        <v>0</v>
      </c>
      <c r="I38" s="4"/>
      <c r="J38" s="8">
        <f t="shared" si="1"/>
        <v>0</v>
      </c>
      <c r="K38" s="99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1"/>
    </row>
    <row r="39" spans="1:27" x14ac:dyDescent="0.2">
      <c r="A39" s="5"/>
      <c r="B39" s="75"/>
      <c r="C39" s="76"/>
      <c r="D39" s="76"/>
      <c r="E39" s="77"/>
      <c r="F39" s="5"/>
      <c r="G39" s="5"/>
      <c r="H39" s="5">
        <f t="shared" si="0"/>
        <v>0</v>
      </c>
      <c r="I39" s="4"/>
      <c r="J39" s="8">
        <f t="shared" si="1"/>
        <v>0</v>
      </c>
      <c r="K39" s="99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1"/>
    </row>
    <row r="40" spans="1:27" x14ac:dyDescent="0.2">
      <c r="A40" s="5"/>
      <c r="B40" s="75"/>
      <c r="C40" s="76"/>
      <c r="D40" s="76"/>
      <c r="E40" s="77"/>
      <c r="F40" s="5"/>
      <c r="G40" s="5"/>
      <c r="H40" s="5">
        <f t="shared" si="0"/>
        <v>0</v>
      </c>
      <c r="I40" s="4"/>
      <c r="J40" s="8">
        <f t="shared" si="1"/>
        <v>0</v>
      </c>
      <c r="K40" s="99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1"/>
    </row>
    <row r="41" spans="1:27" x14ac:dyDescent="0.2">
      <c r="A41" s="5"/>
      <c r="B41" s="75"/>
      <c r="C41" s="76"/>
      <c r="D41" s="76"/>
      <c r="E41" s="77"/>
      <c r="F41" s="5"/>
      <c r="G41" s="5"/>
      <c r="H41" s="5">
        <f t="shared" si="0"/>
        <v>0</v>
      </c>
      <c r="I41" s="4"/>
      <c r="J41" s="8">
        <f t="shared" si="1"/>
        <v>0</v>
      </c>
      <c r="K41" s="99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1"/>
    </row>
    <row r="42" spans="1:27" x14ac:dyDescent="0.2">
      <c r="A42" s="5"/>
      <c r="B42" s="75"/>
      <c r="C42" s="76"/>
      <c r="D42" s="76"/>
      <c r="E42" s="77"/>
      <c r="F42" s="5"/>
      <c r="G42" s="5"/>
      <c r="H42" s="5">
        <f t="shared" si="0"/>
        <v>0</v>
      </c>
      <c r="I42" s="4"/>
      <c r="J42" s="8">
        <f t="shared" si="1"/>
        <v>0</v>
      </c>
      <c r="K42" s="99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1"/>
    </row>
    <row r="43" spans="1:27" x14ac:dyDescent="0.2">
      <c r="A43" s="5"/>
      <c r="B43" s="75"/>
      <c r="C43" s="76"/>
      <c r="D43" s="76"/>
      <c r="E43" s="77"/>
      <c r="F43" s="5"/>
      <c r="G43" s="5"/>
      <c r="H43" s="5">
        <f t="shared" si="0"/>
        <v>0</v>
      </c>
      <c r="I43" s="4"/>
      <c r="J43" s="8">
        <f t="shared" si="1"/>
        <v>0</v>
      </c>
      <c r="K43" s="99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1"/>
    </row>
    <row r="44" spans="1:27" x14ac:dyDescent="0.2">
      <c r="A44" s="5"/>
      <c r="B44" s="75"/>
      <c r="C44" s="76"/>
      <c r="D44" s="76"/>
      <c r="E44" s="77"/>
      <c r="F44" s="5"/>
      <c r="G44" s="5"/>
      <c r="H44" s="5">
        <f t="shared" si="0"/>
        <v>0</v>
      </c>
      <c r="I44" s="4"/>
      <c r="J44" s="8">
        <f t="shared" si="1"/>
        <v>0</v>
      </c>
      <c r="K44" s="99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1"/>
    </row>
    <row r="45" spans="1:27" x14ac:dyDescent="0.2">
      <c r="A45" s="5"/>
      <c r="B45" s="75"/>
      <c r="C45" s="76"/>
      <c r="D45" s="76"/>
      <c r="E45" s="77"/>
      <c r="F45" s="5"/>
      <c r="G45" s="5"/>
      <c r="H45" s="5">
        <f t="shared" ref="H45:H75" si="2">F45*G45</f>
        <v>0</v>
      </c>
      <c r="I45" s="4"/>
      <c r="J45" s="8">
        <f t="shared" si="1"/>
        <v>0</v>
      </c>
      <c r="K45" s="99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1"/>
    </row>
    <row r="46" spans="1:27" x14ac:dyDescent="0.2">
      <c r="A46" s="56"/>
      <c r="B46" s="57"/>
      <c r="C46" s="57"/>
      <c r="D46" s="57"/>
      <c r="E46" s="58"/>
      <c r="F46" s="5"/>
      <c r="G46" s="5"/>
      <c r="H46" s="5">
        <f t="shared" si="2"/>
        <v>0</v>
      </c>
      <c r="I46" s="4"/>
      <c r="J46" s="8">
        <f t="shared" si="1"/>
        <v>0</v>
      </c>
      <c r="K46" s="99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1"/>
    </row>
    <row r="47" spans="1:27" x14ac:dyDescent="0.2">
      <c r="A47" s="59"/>
      <c r="B47" s="60"/>
      <c r="C47" s="60"/>
      <c r="D47" s="60"/>
      <c r="E47" s="61"/>
      <c r="F47" s="5"/>
      <c r="G47" s="5"/>
      <c r="H47" s="5">
        <f t="shared" si="2"/>
        <v>0</v>
      </c>
      <c r="I47" s="4"/>
      <c r="J47" s="8">
        <f t="shared" si="1"/>
        <v>0</v>
      </c>
      <c r="K47" s="99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1"/>
    </row>
    <row r="48" spans="1:27" x14ac:dyDescent="0.2">
      <c r="A48" s="62"/>
      <c r="B48" s="63"/>
      <c r="C48" s="63"/>
      <c r="D48" s="63"/>
      <c r="E48" s="64"/>
      <c r="F48" s="5"/>
      <c r="G48" s="5"/>
      <c r="H48" s="5">
        <f t="shared" si="2"/>
        <v>0</v>
      </c>
      <c r="I48" s="4"/>
      <c r="J48" s="8">
        <f t="shared" si="1"/>
        <v>0</v>
      </c>
      <c r="K48" s="99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1"/>
    </row>
    <row r="49" spans="1:27" x14ac:dyDescent="0.2">
      <c r="A49" s="5"/>
      <c r="B49" s="75"/>
      <c r="C49" s="76"/>
      <c r="D49" s="76"/>
      <c r="E49" s="77"/>
      <c r="F49" s="5"/>
      <c r="G49" s="5"/>
      <c r="H49" s="5">
        <f t="shared" si="2"/>
        <v>0</v>
      </c>
      <c r="I49" s="4"/>
      <c r="J49" s="8">
        <f t="shared" si="1"/>
        <v>0</v>
      </c>
      <c r="K49" s="99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1"/>
    </row>
    <row r="50" spans="1:27" x14ac:dyDescent="0.2">
      <c r="A50" s="5"/>
      <c r="B50" s="75"/>
      <c r="C50" s="76"/>
      <c r="D50" s="76"/>
      <c r="E50" s="77"/>
      <c r="F50" s="5"/>
      <c r="G50" s="5"/>
      <c r="H50" s="5">
        <f t="shared" ref="H50:H60" si="3">F50*G50</f>
        <v>0</v>
      </c>
      <c r="I50" s="4"/>
      <c r="J50" s="8">
        <f t="shared" si="1"/>
        <v>0</v>
      </c>
      <c r="K50" s="99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1"/>
    </row>
    <row r="51" spans="1:27" x14ac:dyDescent="0.2">
      <c r="A51" s="5"/>
      <c r="B51" s="75"/>
      <c r="C51" s="76"/>
      <c r="D51" s="76"/>
      <c r="E51" s="77"/>
      <c r="F51" s="5"/>
      <c r="G51" s="5"/>
      <c r="H51" s="5">
        <f t="shared" si="3"/>
        <v>0</v>
      </c>
      <c r="I51" s="4"/>
      <c r="J51" s="8">
        <f t="shared" si="1"/>
        <v>0</v>
      </c>
      <c r="K51" s="99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1"/>
    </row>
    <row r="52" spans="1:27" x14ac:dyDescent="0.2">
      <c r="A52" s="5"/>
      <c r="B52" s="75"/>
      <c r="C52" s="76"/>
      <c r="D52" s="76"/>
      <c r="E52" s="77"/>
      <c r="F52" s="5"/>
      <c r="G52" s="5"/>
      <c r="H52" s="5">
        <f t="shared" si="3"/>
        <v>0</v>
      </c>
      <c r="I52" s="4"/>
      <c r="J52" s="8">
        <f t="shared" si="1"/>
        <v>0</v>
      </c>
      <c r="K52" s="99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1"/>
    </row>
    <row r="53" spans="1:27" x14ac:dyDescent="0.2">
      <c r="A53" s="5"/>
      <c r="B53" s="75"/>
      <c r="C53" s="76"/>
      <c r="D53" s="76"/>
      <c r="E53" s="77"/>
      <c r="F53" s="5"/>
      <c r="G53" s="5"/>
      <c r="H53" s="5">
        <f t="shared" si="3"/>
        <v>0</v>
      </c>
      <c r="I53" s="4"/>
      <c r="J53" s="8">
        <f t="shared" si="1"/>
        <v>0</v>
      </c>
      <c r="K53" s="99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1"/>
    </row>
    <row r="54" spans="1:27" x14ac:dyDescent="0.2">
      <c r="A54" s="5"/>
      <c r="B54" s="75"/>
      <c r="C54" s="76"/>
      <c r="D54" s="76"/>
      <c r="E54" s="77"/>
      <c r="F54" s="5"/>
      <c r="G54" s="5"/>
      <c r="H54" s="5">
        <f t="shared" si="3"/>
        <v>0</v>
      </c>
      <c r="I54" s="4"/>
      <c r="J54" s="8">
        <f t="shared" si="1"/>
        <v>0</v>
      </c>
      <c r="K54" s="99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1"/>
    </row>
    <row r="55" spans="1:27" x14ac:dyDescent="0.2">
      <c r="A55" s="5"/>
      <c r="B55" s="75"/>
      <c r="C55" s="76"/>
      <c r="D55" s="76"/>
      <c r="E55" s="77"/>
      <c r="F55" s="5"/>
      <c r="G55" s="5"/>
      <c r="H55" s="5">
        <f t="shared" si="3"/>
        <v>0</v>
      </c>
      <c r="I55" s="4"/>
      <c r="J55" s="8">
        <f t="shared" si="1"/>
        <v>0</v>
      </c>
      <c r="K55" s="99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1"/>
    </row>
    <row r="56" spans="1:27" x14ac:dyDescent="0.2">
      <c r="A56" s="5"/>
      <c r="B56" s="75"/>
      <c r="C56" s="76"/>
      <c r="D56" s="76"/>
      <c r="E56" s="77"/>
      <c r="F56" s="5"/>
      <c r="G56" s="5"/>
      <c r="H56" s="5">
        <f t="shared" si="3"/>
        <v>0</v>
      </c>
      <c r="I56" s="4"/>
      <c r="J56" s="8">
        <f t="shared" si="1"/>
        <v>0</v>
      </c>
      <c r="K56" s="99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1"/>
    </row>
    <row r="57" spans="1:27" x14ac:dyDescent="0.2">
      <c r="A57" s="5"/>
      <c r="B57" s="75"/>
      <c r="C57" s="76"/>
      <c r="D57" s="76"/>
      <c r="E57" s="77"/>
      <c r="F57" s="5"/>
      <c r="G57" s="5"/>
      <c r="H57" s="5">
        <f t="shared" si="3"/>
        <v>0</v>
      </c>
      <c r="I57" s="4"/>
      <c r="J57" s="8">
        <f t="shared" si="1"/>
        <v>0</v>
      </c>
      <c r="K57" s="99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1"/>
    </row>
    <row r="58" spans="1:27" x14ac:dyDescent="0.2">
      <c r="A58" s="5"/>
      <c r="B58" s="75"/>
      <c r="C58" s="76"/>
      <c r="D58" s="76"/>
      <c r="E58" s="77"/>
      <c r="F58" s="5"/>
      <c r="G58" s="5"/>
      <c r="H58" s="5">
        <f t="shared" si="3"/>
        <v>0</v>
      </c>
      <c r="I58" s="4"/>
      <c r="J58" s="8">
        <f t="shared" si="1"/>
        <v>0</v>
      </c>
      <c r="K58" s="99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1"/>
    </row>
    <row r="59" spans="1:27" x14ac:dyDescent="0.2">
      <c r="A59" s="5"/>
      <c r="B59" s="75"/>
      <c r="C59" s="76"/>
      <c r="D59" s="76"/>
      <c r="E59" s="77"/>
      <c r="F59" s="5"/>
      <c r="G59" s="5"/>
      <c r="H59" s="5">
        <f t="shared" si="3"/>
        <v>0</v>
      </c>
      <c r="I59" s="4"/>
      <c r="J59" s="8">
        <f t="shared" si="1"/>
        <v>0</v>
      </c>
      <c r="K59" s="99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1"/>
    </row>
    <row r="60" spans="1:27" x14ac:dyDescent="0.2">
      <c r="A60" s="5"/>
      <c r="B60" s="75"/>
      <c r="C60" s="76"/>
      <c r="D60" s="76"/>
      <c r="E60" s="77"/>
      <c r="F60" s="5"/>
      <c r="G60" s="5"/>
      <c r="H60" s="5">
        <f t="shared" si="3"/>
        <v>0</v>
      </c>
      <c r="I60" s="4"/>
      <c r="J60" s="8">
        <f t="shared" si="1"/>
        <v>0</v>
      </c>
      <c r="K60" s="99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1"/>
    </row>
    <row r="61" spans="1:27" x14ac:dyDescent="0.2">
      <c r="A61" s="5"/>
      <c r="B61" s="75"/>
      <c r="C61" s="76"/>
      <c r="D61" s="76"/>
      <c r="E61" s="77"/>
      <c r="F61" s="5"/>
      <c r="G61" s="5"/>
      <c r="H61" s="5">
        <f t="shared" si="2"/>
        <v>0</v>
      </c>
      <c r="I61" s="4"/>
      <c r="J61" s="8">
        <f t="shared" si="1"/>
        <v>0</v>
      </c>
      <c r="K61" s="99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1"/>
    </row>
    <row r="62" spans="1:27" x14ac:dyDescent="0.2">
      <c r="A62" s="5"/>
      <c r="B62" s="75"/>
      <c r="C62" s="76"/>
      <c r="D62" s="76"/>
      <c r="E62" s="77"/>
      <c r="F62" s="5"/>
      <c r="G62" s="5"/>
      <c r="H62" s="5">
        <f t="shared" si="2"/>
        <v>0</v>
      </c>
      <c r="I62" s="4"/>
      <c r="J62" s="8">
        <f t="shared" si="1"/>
        <v>0</v>
      </c>
      <c r="K62" s="99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1"/>
    </row>
    <row r="63" spans="1:27" x14ac:dyDescent="0.2">
      <c r="A63" s="5"/>
      <c r="B63" s="75"/>
      <c r="C63" s="76"/>
      <c r="D63" s="76"/>
      <c r="E63" s="77"/>
      <c r="F63" s="5"/>
      <c r="G63" s="5"/>
      <c r="H63" s="5">
        <f t="shared" si="2"/>
        <v>0</v>
      </c>
      <c r="I63" s="4"/>
      <c r="J63" s="8">
        <f t="shared" si="1"/>
        <v>0</v>
      </c>
      <c r="K63" s="99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1"/>
    </row>
    <row r="64" spans="1:27" x14ac:dyDescent="0.2">
      <c r="A64" s="5"/>
      <c r="B64" s="75"/>
      <c r="C64" s="76"/>
      <c r="D64" s="76"/>
      <c r="E64" s="77"/>
      <c r="F64" s="5"/>
      <c r="G64" s="5"/>
      <c r="H64" s="5">
        <f t="shared" si="2"/>
        <v>0</v>
      </c>
      <c r="I64" s="4"/>
      <c r="J64" s="8">
        <f t="shared" si="1"/>
        <v>0</v>
      </c>
      <c r="K64" s="99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1"/>
    </row>
    <row r="65" spans="1:27" x14ac:dyDescent="0.2">
      <c r="A65" s="5"/>
      <c r="B65" s="75"/>
      <c r="C65" s="76"/>
      <c r="D65" s="76"/>
      <c r="E65" s="77"/>
      <c r="F65" s="5"/>
      <c r="G65" s="5"/>
      <c r="H65" s="5">
        <f t="shared" si="2"/>
        <v>0</v>
      </c>
      <c r="I65" s="4"/>
      <c r="J65" s="8">
        <f t="shared" si="1"/>
        <v>0</v>
      </c>
      <c r="K65" s="99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1"/>
    </row>
    <row r="66" spans="1:27" x14ac:dyDescent="0.2">
      <c r="A66" s="5"/>
      <c r="B66" s="75"/>
      <c r="C66" s="76"/>
      <c r="D66" s="76"/>
      <c r="E66" s="77"/>
      <c r="F66" s="5"/>
      <c r="G66" s="5"/>
      <c r="H66" s="5">
        <f t="shared" si="2"/>
        <v>0</v>
      </c>
      <c r="I66" s="4"/>
      <c r="J66" s="8">
        <f t="shared" si="1"/>
        <v>0</v>
      </c>
      <c r="K66" s="99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1"/>
    </row>
    <row r="67" spans="1:27" x14ac:dyDescent="0.2">
      <c r="A67" s="5"/>
      <c r="B67" s="75"/>
      <c r="C67" s="76"/>
      <c r="D67" s="76"/>
      <c r="E67" s="77"/>
      <c r="F67" s="5"/>
      <c r="G67" s="5"/>
      <c r="H67" s="5">
        <f t="shared" si="2"/>
        <v>0</v>
      </c>
      <c r="I67" s="4"/>
      <c r="J67" s="8">
        <f t="shared" si="1"/>
        <v>0</v>
      </c>
      <c r="K67" s="99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1"/>
    </row>
    <row r="68" spans="1:27" x14ac:dyDescent="0.2">
      <c r="A68" s="5"/>
      <c r="B68" s="75"/>
      <c r="C68" s="76"/>
      <c r="D68" s="76"/>
      <c r="E68" s="77"/>
      <c r="F68" s="5"/>
      <c r="G68" s="5"/>
      <c r="H68" s="5">
        <f t="shared" si="2"/>
        <v>0</v>
      </c>
      <c r="I68" s="4"/>
      <c r="J68" s="8">
        <f t="shared" si="1"/>
        <v>0</v>
      </c>
      <c r="K68" s="99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1"/>
    </row>
    <row r="69" spans="1:27" x14ac:dyDescent="0.2">
      <c r="A69" s="5"/>
      <c r="B69" s="75"/>
      <c r="C69" s="76"/>
      <c r="D69" s="76"/>
      <c r="E69" s="77"/>
      <c r="F69" s="5"/>
      <c r="G69" s="5"/>
      <c r="H69" s="5">
        <f t="shared" si="2"/>
        <v>0</v>
      </c>
      <c r="I69" s="4"/>
      <c r="J69" s="8">
        <f t="shared" si="1"/>
        <v>0</v>
      </c>
      <c r="K69" s="99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1"/>
    </row>
    <row r="70" spans="1:27" x14ac:dyDescent="0.2">
      <c r="A70" s="5"/>
      <c r="B70" s="75"/>
      <c r="C70" s="76"/>
      <c r="D70" s="76"/>
      <c r="E70" s="77"/>
      <c r="F70" s="5"/>
      <c r="G70" s="5"/>
      <c r="H70" s="5">
        <f t="shared" si="2"/>
        <v>0</v>
      </c>
      <c r="I70" s="4"/>
      <c r="J70" s="8">
        <f t="shared" si="1"/>
        <v>0</v>
      </c>
      <c r="K70" s="99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1"/>
    </row>
    <row r="71" spans="1:27" x14ac:dyDescent="0.2">
      <c r="A71" s="107" t="s">
        <v>37</v>
      </c>
      <c r="B71" s="108"/>
      <c r="C71" s="109"/>
      <c r="D71" s="109"/>
      <c r="E71" s="110"/>
      <c r="F71" s="5"/>
      <c r="G71" s="5"/>
      <c r="H71" s="5">
        <f t="shared" si="2"/>
        <v>0</v>
      </c>
      <c r="I71" s="4"/>
      <c r="J71" s="8">
        <f t="shared" si="1"/>
        <v>0</v>
      </c>
      <c r="K71" s="99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1"/>
    </row>
    <row r="72" spans="1:27" x14ac:dyDescent="0.2">
      <c r="A72" s="107"/>
      <c r="B72" s="111"/>
      <c r="C72" s="112"/>
      <c r="D72" s="112"/>
      <c r="E72" s="113"/>
      <c r="F72" s="5"/>
      <c r="G72" s="5"/>
      <c r="H72" s="5">
        <f t="shared" si="2"/>
        <v>0</v>
      </c>
      <c r="I72" s="4"/>
      <c r="J72" s="8">
        <f t="shared" si="1"/>
        <v>0</v>
      </c>
      <c r="K72" s="99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1"/>
    </row>
    <row r="73" spans="1:27" x14ac:dyDescent="0.2">
      <c r="A73" s="135" t="s">
        <v>41</v>
      </c>
      <c r="B73" s="144" t="s">
        <v>39</v>
      </c>
      <c r="C73" s="144"/>
      <c r="D73" s="144" t="s">
        <v>40</v>
      </c>
      <c r="E73" s="144"/>
      <c r="F73" s="5"/>
      <c r="G73" s="5"/>
      <c r="H73" s="5">
        <f t="shared" si="2"/>
        <v>0</v>
      </c>
      <c r="I73" s="4"/>
      <c r="J73" s="8">
        <f t="shared" si="1"/>
        <v>0</v>
      </c>
      <c r="K73" s="99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1"/>
    </row>
    <row r="74" spans="1:27" x14ac:dyDescent="0.2">
      <c r="A74" s="135"/>
      <c r="B74" s="144"/>
      <c r="C74" s="144"/>
      <c r="D74" s="144"/>
      <c r="E74" s="144"/>
      <c r="F74" s="5"/>
      <c r="G74" s="5"/>
      <c r="H74" s="5">
        <f t="shared" si="2"/>
        <v>0</v>
      </c>
      <c r="I74" s="4"/>
      <c r="J74" s="8">
        <f t="shared" si="1"/>
        <v>0</v>
      </c>
      <c r="K74" s="99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1"/>
    </row>
    <row r="75" spans="1:27" x14ac:dyDescent="0.2">
      <c r="A75" s="132" t="s">
        <v>38</v>
      </c>
      <c r="B75" s="133"/>
      <c r="C75" s="133"/>
      <c r="D75" s="133"/>
      <c r="E75" s="134"/>
      <c r="F75" s="5"/>
      <c r="G75" s="5"/>
      <c r="H75" s="5">
        <f t="shared" si="2"/>
        <v>0</v>
      </c>
      <c r="I75" s="4"/>
      <c r="J75" s="8">
        <f t="shared" si="1"/>
        <v>0</v>
      </c>
      <c r="K75" s="102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4"/>
    </row>
    <row r="76" spans="1:27" x14ac:dyDescent="0.2">
      <c r="A76" s="75"/>
      <c r="B76" s="76"/>
      <c r="C76" s="76"/>
      <c r="D76" s="76"/>
      <c r="E76" s="76"/>
      <c r="F76" s="77"/>
      <c r="G76" s="6">
        <f t="shared" ref="G76:H76" si="4">SUM(G9:G75)</f>
        <v>480</v>
      </c>
      <c r="H76" s="6">
        <f t="shared" si="4"/>
        <v>4800</v>
      </c>
      <c r="I76" s="16"/>
      <c r="J76" s="93">
        <f>SUM(J9:J75)</f>
        <v>31440</v>
      </c>
      <c r="K76" s="94"/>
      <c r="L76" s="94"/>
      <c r="M76" s="95"/>
      <c r="N76" s="105" t="s">
        <v>14</v>
      </c>
      <c r="O76" s="106"/>
      <c r="P76" s="106"/>
      <c r="Q76" s="106"/>
      <c r="R76" s="140"/>
      <c r="S76" s="140"/>
      <c r="T76" s="140"/>
      <c r="U76" s="140"/>
      <c r="V76" s="140"/>
      <c r="W76" s="140"/>
      <c r="X76" s="140"/>
      <c r="Y76" s="140"/>
      <c r="Z76" s="140"/>
      <c r="AA76" s="140"/>
    </row>
    <row r="77" spans="1:27" x14ac:dyDescent="0.2">
      <c r="A77" s="90" t="s">
        <v>22</v>
      </c>
      <c r="B77" s="91"/>
      <c r="C77" s="91"/>
      <c r="D77" s="91"/>
      <c r="E77" s="91"/>
      <c r="F77" s="91"/>
      <c r="G77" s="91"/>
      <c r="H77" s="92"/>
      <c r="I77" s="15">
        <f>SUMIF(I9:I75,"&gt;0",J9:J75)/(SUMIF(I9:I75,"&gt;0",H9:H75))</f>
        <v>6.55</v>
      </c>
      <c r="J77" s="137">
        <f>H76</f>
        <v>4800</v>
      </c>
      <c r="K77" s="138"/>
      <c r="L77" s="139"/>
      <c r="M77" s="75"/>
      <c r="N77" s="76"/>
      <c r="O77" s="76"/>
      <c r="P77" s="76"/>
      <c r="Q77" s="76"/>
      <c r="R77" s="140"/>
      <c r="S77" s="140"/>
      <c r="T77" s="140"/>
      <c r="U77" s="140"/>
      <c r="V77" s="140"/>
      <c r="W77" s="140"/>
      <c r="X77" s="140"/>
      <c r="Y77" s="140"/>
      <c r="Z77" s="140"/>
      <c r="AA77" s="140"/>
    </row>
    <row r="78" spans="1:27" x14ac:dyDescent="0.2">
      <c r="I78" s="3"/>
    </row>
    <row r="79" spans="1:27" x14ac:dyDescent="0.2">
      <c r="I79" s="3"/>
    </row>
    <row r="80" spans="1:27" x14ac:dyDescent="0.2">
      <c r="I80" s="3"/>
      <c r="J80" s="10"/>
      <c r="K80" s="11"/>
      <c r="L80" s="11"/>
      <c r="M80" s="11"/>
    </row>
    <row r="81" spans="9:13" x14ac:dyDescent="0.2">
      <c r="I81" s="3"/>
      <c r="J81" s="10"/>
      <c r="K81" s="12"/>
      <c r="L81" s="12"/>
      <c r="M81" s="12"/>
    </row>
    <row r="82" spans="9:13" x14ac:dyDescent="0.2">
      <c r="I82" s="3"/>
      <c r="J82" s="9"/>
      <c r="K82" s="11"/>
      <c r="L82" s="11"/>
      <c r="M82" s="11"/>
    </row>
    <row r="83" spans="9:13" x14ac:dyDescent="0.2">
      <c r="I83" s="3"/>
      <c r="J83" s="10"/>
      <c r="K83" s="11"/>
      <c r="L83" s="11"/>
      <c r="M83" s="11"/>
    </row>
    <row r="84" spans="9:13" x14ac:dyDescent="0.2">
      <c r="I84" s="3"/>
    </row>
    <row r="85" spans="9:13" x14ac:dyDescent="0.2">
      <c r="I85" s="3"/>
    </row>
    <row r="86" spans="9:13" x14ac:dyDescent="0.2">
      <c r="I86" s="3"/>
    </row>
    <row r="87" spans="9:13" x14ac:dyDescent="0.2">
      <c r="I87" s="3"/>
    </row>
    <row r="88" spans="9:13" x14ac:dyDescent="0.2">
      <c r="I88" s="3"/>
    </row>
    <row r="89" spans="9:13" x14ac:dyDescent="0.2">
      <c r="I89" s="3"/>
    </row>
    <row r="90" spans="9:13" x14ac:dyDescent="0.2">
      <c r="I90" s="3"/>
    </row>
    <row r="91" spans="9:13" x14ac:dyDescent="0.2">
      <c r="I91" s="3"/>
    </row>
    <row r="92" spans="9:13" x14ac:dyDescent="0.2">
      <c r="I92" s="3"/>
    </row>
    <row r="93" spans="9:13" x14ac:dyDescent="0.2">
      <c r="I93" s="3"/>
    </row>
    <row r="94" spans="9:13" x14ac:dyDescent="0.2">
      <c r="I94" s="3"/>
    </row>
    <row r="95" spans="9:13" x14ac:dyDescent="0.2">
      <c r="I95" s="3"/>
    </row>
    <row r="96" spans="9:13" x14ac:dyDescent="0.2">
      <c r="I96" s="3"/>
    </row>
    <row r="97" spans="9:9" x14ac:dyDescent="0.2">
      <c r="I97" s="3"/>
    </row>
    <row r="98" spans="9:9" x14ac:dyDescent="0.2">
      <c r="I98" s="3"/>
    </row>
    <row r="99" spans="9:9" x14ac:dyDescent="0.2">
      <c r="I99" s="3"/>
    </row>
    <row r="100" spans="9:9" x14ac:dyDescent="0.2">
      <c r="I100" s="3"/>
    </row>
    <row r="101" spans="9:9" x14ac:dyDescent="0.2">
      <c r="I101" s="3"/>
    </row>
    <row r="102" spans="9:9" x14ac:dyDescent="0.2">
      <c r="I102" s="3"/>
    </row>
    <row r="103" spans="9:9" x14ac:dyDescent="0.2">
      <c r="I103" s="3"/>
    </row>
    <row r="104" spans="9:9" x14ac:dyDescent="0.2">
      <c r="I104" s="3"/>
    </row>
    <row r="105" spans="9:9" x14ac:dyDescent="0.2">
      <c r="I105" s="3"/>
    </row>
    <row r="106" spans="9:9" x14ac:dyDescent="0.2">
      <c r="I106" s="3"/>
    </row>
    <row r="107" spans="9:9" x14ac:dyDescent="0.2">
      <c r="I107" s="3"/>
    </row>
    <row r="108" spans="9:9" x14ac:dyDescent="0.2">
      <c r="I108" s="3"/>
    </row>
    <row r="109" spans="9:9" x14ac:dyDescent="0.2">
      <c r="I109" s="3"/>
    </row>
    <row r="110" spans="9:9" x14ac:dyDescent="0.2">
      <c r="I110" s="3"/>
    </row>
    <row r="111" spans="9:9" x14ac:dyDescent="0.2">
      <c r="I111" s="3"/>
    </row>
    <row r="112" spans="9:9" x14ac:dyDescent="0.2">
      <c r="I112" s="3"/>
    </row>
    <row r="113" spans="9:9" x14ac:dyDescent="0.2">
      <c r="I113" s="3"/>
    </row>
    <row r="114" spans="9:9" x14ac:dyDescent="0.2">
      <c r="I114" s="3"/>
    </row>
    <row r="115" spans="9:9" x14ac:dyDescent="0.2">
      <c r="I115" s="3"/>
    </row>
    <row r="116" spans="9:9" x14ac:dyDescent="0.2">
      <c r="I116" s="3"/>
    </row>
    <row r="117" spans="9:9" x14ac:dyDescent="0.2">
      <c r="I117" s="3"/>
    </row>
    <row r="118" spans="9:9" x14ac:dyDescent="0.2">
      <c r="I118" s="3"/>
    </row>
    <row r="119" spans="9:9" x14ac:dyDescent="0.2">
      <c r="I119" s="3"/>
    </row>
    <row r="120" spans="9:9" x14ac:dyDescent="0.2">
      <c r="I120" s="3"/>
    </row>
    <row r="121" spans="9:9" x14ac:dyDescent="0.2">
      <c r="I121" s="3"/>
    </row>
    <row r="122" spans="9:9" x14ac:dyDescent="0.2">
      <c r="I122" s="3"/>
    </row>
    <row r="123" spans="9:9" x14ac:dyDescent="0.2">
      <c r="I123" s="3"/>
    </row>
    <row r="124" spans="9:9" x14ac:dyDescent="0.2">
      <c r="I124" s="3"/>
    </row>
    <row r="125" spans="9:9" x14ac:dyDescent="0.2">
      <c r="I125" s="3"/>
    </row>
    <row r="126" spans="9:9" x14ac:dyDescent="0.2">
      <c r="I126" s="3"/>
    </row>
    <row r="127" spans="9:9" x14ac:dyDescent="0.2">
      <c r="I127" s="3"/>
    </row>
    <row r="128" spans="9:9" x14ac:dyDescent="0.2">
      <c r="I128" s="3"/>
    </row>
    <row r="129" spans="9:9" x14ac:dyDescent="0.2">
      <c r="I129" s="3"/>
    </row>
    <row r="130" spans="9:9" x14ac:dyDescent="0.2">
      <c r="I130" s="3"/>
    </row>
    <row r="131" spans="9:9" x14ac:dyDescent="0.2">
      <c r="I131" s="3"/>
    </row>
    <row r="132" spans="9:9" x14ac:dyDescent="0.2">
      <c r="I132" s="3"/>
    </row>
    <row r="133" spans="9:9" x14ac:dyDescent="0.2">
      <c r="I133" s="3"/>
    </row>
    <row r="134" spans="9:9" x14ac:dyDescent="0.2">
      <c r="I134" s="3"/>
    </row>
    <row r="135" spans="9:9" x14ac:dyDescent="0.2">
      <c r="I135" s="3"/>
    </row>
    <row r="136" spans="9:9" x14ac:dyDescent="0.2">
      <c r="I136" s="3"/>
    </row>
    <row r="137" spans="9:9" x14ac:dyDescent="0.2">
      <c r="I137" s="3"/>
    </row>
    <row r="138" spans="9:9" x14ac:dyDescent="0.2">
      <c r="I138" s="3"/>
    </row>
    <row r="139" spans="9:9" x14ac:dyDescent="0.2">
      <c r="I139" s="3"/>
    </row>
    <row r="140" spans="9:9" x14ac:dyDescent="0.2">
      <c r="I140" s="3"/>
    </row>
    <row r="141" spans="9:9" x14ac:dyDescent="0.2">
      <c r="I141" s="3"/>
    </row>
    <row r="142" spans="9:9" x14ac:dyDescent="0.2">
      <c r="I142" s="3"/>
    </row>
    <row r="143" spans="9:9" x14ac:dyDescent="0.2">
      <c r="I143" s="3"/>
    </row>
    <row r="144" spans="9:9" x14ac:dyDescent="0.2">
      <c r="I144" s="3"/>
    </row>
    <row r="145" spans="9:9" x14ac:dyDescent="0.2">
      <c r="I145" s="3"/>
    </row>
    <row r="146" spans="9:9" x14ac:dyDescent="0.2">
      <c r="I146" s="3"/>
    </row>
    <row r="147" spans="9:9" x14ac:dyDescent="0.2">
      <c r="I147" s="3"/>
    </row>
    <row r="148" spans="9:9" x14ac:dyDescent="0.2">
      <c r="I148" s="3"/>
    </row>
    <row r="149" spans="9:9" x14ac:dyDescent="0.2">
      <c r="I149" s="3"/>
    </row>
    <row r="150" spans="9:9" x14ac:dyDescent="0.2">
      <c r="I150" s="3"/>
    </row>
    <row r="151" spans="9:9" x14ac:dyDescent="0.2">
      <c r="I151" s="3"/>
    </row>
    <row r="152" spans="9:9" x14ac:dyDescent="0.2">
      <c r="I152" s="3"/>
    </row>
    <row r="153" spans="9:9" x14ac:dyDescent="0.2">
      <c r="I153" s="3"/>
    </row>
    <row r="154" spans="9:9" x14ac:dyDescent="0.2">
      <c r="I154" s="3"/>
    </row>
    <row r="155" spans="9:9" x14ac:dyDescent="0.2">
      <c r="I155" s="3"/>
    </row>
    <row r="156" spans="9:9" x14ac:dyDescent="0.2">
      <c r="I156" s="3"/>
    </row>
    <row r="157" spans="9:9" x14ac:dyDescent="0.2">
      <c r="I157" s="3"/>
    </row>
    <row r="158" spans="9:9" x14ac:dyDescent="0.2">
      <c r="I158" s="3"/>
    </row>
    <row r="159" spans="9:9" x14ac:dyDescent="0.2">
      <c r="I159" s="3"/>
    </row>
    <row r="160" spans="9:9" x14ac:dyDescent="0.2">
      <c r="I160" s="3"/>
    </row>
    <row r="161" spans="9:9" x14ac:dyDescent="0.2">
      <c r="I161" s="3"/>
    </row>
    <row r="162" spans="9:9" x14ac:dyDescent="0.2">
      <c r="I162" s="3"/>
    </row>
    <row r="163" spans="9:9" x14ac:dyDescent="0.2">
      <c r="I163" s="3"/>
    </row>
    <row r="164" spans="9:9" x14ac:dyDescent="0.2">
      <c r="I164" s="3"/>
    </row>
    <row r="165" spans="9:9" x14ac:dyDescent="0.2">
      <c r="I165" s="3"/>
    </row>
    <row r="166" spans="9:9" x14ac:dyDescent="0.2">
      <c r="I166" s="3"/>
    </row>
    <row r="167" spans="9:9" x14ac:dyDescent="0.2">
      <c r="I167" s="3"/>
    </row>
    <row r="168" spans="9:9" x14ac:dyDescent="0.2">
      <c r="I168" s="3"/>
    </row>
    <row r="169" spans="9:9" x14ac:dyDescent="0.2">
      <c r="I169" s="3"/>
    </row>
    <row r="170" spans="9:9" x14ac:dyDescent="0.2">
      <c r="I170" s="3"/>
    </row>
    <row r="171" spans="9:9" x14ac:dyDescent="0.2">
      <c r="I171" s="3"/>
    </row>
    <row r="172" spans="9:9" x14ac:dyDescent="0.2">
      <c r="I172" s="3"/>
    </row>
    <row r="173" spans="9:9" x14ac:dyDescent="0.2">
      <c r="I173" s="3"/>
    </row>
    <row r="174" spans="9:9" x14ac:dyDescent="0.2">
      <c r="I174" s="3"/>
    </row>
    <row r="175" spans="9:9" x14ac:dyDescent="0.2">
      <c r="I175" s="3"/>
    </row>
    <row r="176" spans="9:9" x14ac:dyDescent="0.2">
      <c r="I176" s="3"/>
    </row>
    <row r="177" spans="9:9" x14ac:dyDescent="0.2">
      <c r="I177" s="3"/>
    </row>
    <row r="178" spans="9:9" x14ac:dyDescent="0.2">
      <c r="I178" s="3"/>
    </row>
    <row r="179" spans="9:9" x14ac:dyDescent="0.2">
      <c r="I179" s="3"/>
    </row>
    <row r="180" spans="9:9" x14ac:dyDescent="0.2">
      <c r="I180" s="3"/>
    </row>
    <row r="181" spans="9:9" x14ac:dyDescent="0.2">
      <c r="I181" s="3"/>
    </row>
    <row r="182" spans="9:9" x14ac:dyDescent="0.2">
      <c r="I182" s="3"/>
    </row>
    <row r="183" spans="9:9" x14ac:dyDescent="0.2">
      <c r="I183" s="3"/>
    </row>
    <row r="184" spans="9:9" x14ac:dyDescent="0.2">
      <c r="I184" s="3"/>
    </row>
    <row r="185" spans="9:9" x14ac:dyDescent="0.2">
      <c r="I185" s="3"/>
    </row>
    <row r="186" spans="9:9" x14ac:dyDescent="0.2">
      <c r="I186" s="3"/>
    </row>
    <row r="187" spans="9:9" x14ac:dyDescent="0.2">
      <c r="I187" s="3"/>
    </row>
    <row r="188" spans="9:9" x14ac:dyDescent="0.2">
      <c r="I188" s="3"/>
    </row>
    <row r="189" spans="9:9" x14ac:dyDescent="0.2">
      <c r="I189" s="3"/>
    </row>
    <row r="190" spans="9:9" x14ac:dyDescent="0.2">
      <c r="I190" s="3"/>
    </row>
    <row r="191" spans="9:9" x14ac:dyDescent="0.2">
      <c r="I191" s="3"/>
    </row>
    <row r="192" spans="9:9" x14ac:dyDescent="0.2">
      <c r="I192" s="3"/>
    </row>
    <row r="193" spans="9:9" x14ac:dyDescent="0.2">
      <c r="I193" s="3"/>
    </row>
    <row r="194" spans="9:9" x14ac:dyDescent="0.2">
      <c r="I194" s="3"/>
    </row>
    <row r="195" spans="9:9" x14ac:dyDescent="0.2">
      <c r="I195" s="3"/>
    </row>
    <row r="196" spans="9:9" x14ac:dyDescent="0.2">
      <c r="I196" s="3"/>
    </row>
    <row r="197" spans="9:9" x14ac:dyDescent="0.2">
      <c r="I197" s="3"/>
    </row>
    <row r="198" spans="9:9" x14ac:dyDescent="0.2">
      <c r="I198" s="3"/>
    </row>
    <row r="199" spans="9:9" x14ac:dyDescent="0.2">
      <c r="I199" s="3"/>
    </row>
    <row r="200" spans="9:9" x14ac:dyDescent="0.2">
      <c r="I200" s="3"/>
    </row>
    <row r="201" spans="9:9" x14ac:dyDescent="0.2">
      <c r="I201" s="3"/>
    </row>
    <row r="202" spans="9:9" x14ac:dyDescent="0.2">
      <c r="I202" s="3"/>
    </row>
    <row r="203" spans="9:9" x14ac:dyDescent="0.2">
      <c r="I203" s="3"/>
    </row>
    <row r="204" spans="9:9" x14ac:dyDescent="0.2">
      <c r="I204" s="3"/>
    </row>
    <row r="205" spans="9:9" x14ac:dyDescent="0.2">
      <c r="I205" s="3"/>
    </row>
    <row r="206" spans="9:9" x14ac:dyDescent="0.2">
      <c r="I206" s="3"/>
    </row>
    <row r="207" spans="9:9" x14ac:dyDescent="0.2">
      <c r="I207" s="3"/>
    </row>
    <row r="208" spans="9:9" x14ac:dyDescent="0.2">
      <c r="I208" s="3"/>
    </row>
    <row r="209" spans="9:9" x14ac:dyDescent="0.2">
      <c r="I209" s="3"/>
    </row>
    <row r="210" spans="9:9" x14ac:dyDescent="0.2">
      <c r="I210" s="3"/>
    </row>
    <row r="211" spans="9:9" x14ac:dyDescent="0.2">
      <c r="I211" s="3"/>
    </row>
    <row r="212" spans="9:9" x14ac:dyDescent="0.2">
      <c r="I212" s="3"/>
    </row>
    <row r="213" spans="9:9" x14ac:dyDescent="0.2">
      <c r="I213" s="3"/>
    </row>
    <row r="214" spans="9:9" x14ac:dyDescent="0.2">
      <c r="I214" s="3"/>
    </row>
    <row r="215" spans="9:9" x14ac:dyDescent="0.2">
      <c r="I215" s="3"/>
    </row>
    <row r="216" spans="9:9" x14ac:dyDescent="0.2">
      <c r="I216" s="3"/>
    </row>
    <row r="217" spans="9:9" x14ac:dyDescent="0.2">
      <c r="I217" s="3"/>
    </row>
    <row r="218" spans="9:9" x14ac:dyDescent="0.2">
      <c r="I218" s="3"/>
    </row>
    <row r="219" spans="9:9" x14ac:dyDescent="0.2">
      <c r="I219" s="3"/>
    </row>
    <row r="220" spans="9:9" x14ac:dyDescent="0.2">
      <c r="I220" s="3"/>
    </row>
    <row r="221" spans="9:9" x14ac:dyDescent="0.2">
      <c r="I221" s="3"/>
    </row>
    <row r="222" spans="9:9" x14ac:dyDescent="0.2">
      <c r="I222" s="3"/>
    </row>
    <row r="223" spans="9:9" x14ac:dyDescent="0.2">
      <c r="I223" s="3"/>
    </row>
    <row r="224" spans="9:9" x14ac:dyDescent="0.2">
      <c r="I224" s="3"/>
    </row>
    <row r="225" spans="9:9" x14ac:dyDescent="0.2">
      <c r="I225" s="3"/>
    </row>
    <row r="226" spans="9:9" x14ac:dyDescent="0.2">
      <c r="I226" s="3"/>
    </row>
    <row r="227" spans="9:9" x14ac:dyDescent="0.2">
      <c r="I227" s="3"/>
    </row>
    <row r="228" spans="9:9" x14ac:dyDescent="0.2">
      <c r="I228" s="3"/>
    </row>
    <row r="229" spans="9:9" x14ac:dyDescent="0.2">
      <c r="I229" s="3"/>
    </row>
    <row r="230" spans="9:9" x14ac:dyDescent="0.2">
      <c r="I230" s="3"/>
    </row>
    <row r="231" spans="9:9" x14ac:dyDescent="0.2">
      <c r="I231" s="3"/>
    </row>
    <row r="232" spans="9:9" x14ac:dyDescent="0.2">
      <c r="I232" s="3"/>
    </row>
    <row r="233" spans="9:9" x14ac:dyDescent="0.2">
      <c r="I233" s="3"/>
    </row>
    <row r="234" spans="9:9" x14ac:dyDescent="0.2">
      <c r="I234" s="3"/>
    </row>
    <row r="235" spans="9:9" x14ac:dyDescent="0.2">
      <c r="I235" s="3"/>
    </row>
    <row r="236" spans="9:9" x14ac:dyDescent="0.2">
      <c r="I236" s="3"/>
    </row>
    <row r="237" spans="9:9" x14ac:dyDescent="0.2">
      <c r="I237" s="3"/>
    </row>
    <row r="238" spans="9:9" x14ac:dyDescent="0.2">
      <c r="I238" s="3"/>
    </row>
    <row r="239" spans="9:9" x14ac:dyDescent="0.2">
      <c r="I239" s="3"/>
    </row>
    <row r="240" spans="9:9" x14ac:dyDescent="0.2">
      <c r="I240" s="3"/>
    </row>
    <row r="241" spans="9:9" x14ac:dyDescent="0.2">
      <c r="I241" s="3"/>
    </row>
    <row r="242" spans="9:9" x14ac:dyDescent="0.2">
      <c r="I242" s="3"/>
    </row>
    <row r="243" spans="9:9" x14ac:dyDescent="0.2">
      <c r="I243" s="3"/>
    </row>
    <row r="244" spans="9:9" x14ac:dyDescent="0.2">
      <c r="I244" s="3"/>
    </row>
    <row r="245" spans="9:9" x14ac:dyDescent="0.2">
      <c r="I245" s="3"/>
    </row>
    <row r="246" spans="9:9" x14ac:dyDescent="0.2">
      <c r="I246" s="3"/>
    </row>
    <row r="247" spans="9:9" x14ac:dyDescent="0.2">
      <c r="I247" s="3"/>
    </row>
    <row r="248" spans="9:9" x14ac:dyDescent="0.2">
      <c r="I248" s="3"/>
    </row>
    <row r="249" spans="9:9" x14ac:dyDescent="0.2">
      <c r="I249" s="3"/>
    </row>
    <row r="250" spans="9:9" x14ac:dyDescent="0.2">
      <c r="I250" s="3"/>
    </row>
    <row r="251" spans="9:9" x14ac:dyDescent="0.2">
      <c r="I251" s="3"/>
    </row>
    <row r="252" spans="9:9" x14ac:dyDescent="0.2">
      <c r="I252" s="3"/>
    </row>
    <row r="253" spans="9:9" x14ac:dyDescent="0.2">
      <c r="I253" s="3"/>
    </row>
    <row r="254" spans="9:9" x14ac:dyDescent="0.2">
      <c r="I254" s="3"/>
    </row>
    <row r="255" spans="9:9" x14ac:dyDescent="0.2">
      <c r="I255" s="3"/>
    </row>
    <row r="256" spans="9:9" x14ac:dyDescent="0.2">
      <c r="I256" s="3"/>
    </row>
    <row r="257" spans="9:9" x14ac:dyDescent="0.2">
      <c r="I257" s="3"/>
    </row>
    <row r="258" spans="9:9" x14ac:dyDescent="0.2">
      <c r="I258" s="3"/>
    </row>
    <row r="259" spans="9:9" x14ac:dyDescent="0.2">
      <c r="I259" s="3"/>
    </row>
    <row r="260" spans="9:9" x14ac:dyDescent="0.2">
      <c r="I260" s="3"/>
    </row>
    <row r="261" spans="9:9" x14ac:dyDescent="0.2">
      <c r="I261" s="3"/>
    </row>
    <row r="262" spans="9:9" x14ac:dyDescent="0.2">
      <c r="I262" s="3"/>
    </row>
    <row r="263" spans="9:9" x14ac:dyDescent="0.2">
      <c r="I263" s="3"/>
    </row>
    <row r="264" spans="9:9" x14ac:dyDescent="0.2">
      <c r="I264" s="3"/>
    </row>
    <row r="265" spans="9:9" x14ac:dyDescent="0.2">
      <c r="I265" s="3"/>
    </row>
    <row r="266" spans="9:9" x14ac:dyDescent="0.2">
      <c r="I266" s="3"/>
    </row>
    <row r="267" spans="9:9" x14ac:dyDescent="0.2">
      <c r="I267" s="3"/>
    </row>
    <row r="268" spans="9:9" x14ac:dyDescent="0.2">
      <c r="I268" s="3"/>
    </row>
    <row r="269" spans="9:9" x14ac:dyDescent="0.2">
      <c r="I269" s="3"/>
    </row>
    <row r="270" spans="9:9" x14ac:dyDescent="0.2">
      <c r="I270" s="3"/>
    </row>
    <row r="271" spans="9:9" x14ac:dyDescent="0.2">
      <c r="I271" s="3"/>
    </row>
    <row r="272" spans="9:9" x14ac:dyDescent="0.2">
      <c r="I272" s="3"/>
    </row>
    <row r="273" spans="9:9" x14ac:dyDescent="0.2">
      <c r="I273" s="3"/>
    </row>
    <row r="274" spans="9:9" x14ac:dyDescent="0.2">
      <c r="I274" s="3"/>
    </row>
    <row r="275" spans="9:9" x14ac:dyDescent="0.2">
      <c r="I275" s="3"/>
    </row>
    <row r="276" spans="9:9" x14ac:dyDescent="0.2">
      <c r="I276" s="3"/>
    </row>
    <row r="277" spans="9:9" x14ac:dyDescent="0.2">
      <c r="I277" s="3"/>
    </row>
    <row r="278" spans="9:9" x14ac:dyDescent="0.2">
      <c r="I278" s="3"/>
    </row>
    <row r="279" spans="9:9" x14ac:dyDescent="0.2">
      <c r="I279" s="3"/>
    </row>
    <row r="280" spans="9:9" x14ac:dyDescent="0.2">
      <c r="I280" s="3"/>
    </row>
    <row r="281" spans="9:9" x14ac:dyDescent="0.2">
      <c r="I281" s="3"/>
    </row>
    <row r="282" spans="9:9" x14ac:dyDescent="0.2">
      <c r="I282" s="3"/>
    </row>
    <row r="283" spans="9:9" x14ac:dyDescent="0.2">
      <c r="I283" s="3"/>
    </row>
    <row r="284" spans="9:9" x14ac:dyDescent="0.2">
      <c r="I284" s="3"/>
    </row>
    <row r="285" spans="9:9" x14ac:dyDescent="0.2">
      <c r="I285" s="3"/>
    </row>
    <row r="286" spans="9:9" x14ac:dyDescent="0.2">
      <c r="I286" s="3"/>
    </row>
    <row r="287" spans="9:9" x14ac:dyDescent="0.2">
      <c r="I287" s="3"/>
    </row>
    <row r="288" spans="9:9" x14ac:dyDescent="0.2">
      <c r="I288" s="3"/>
    </row>
    <row r="289" spans="9:9" x14ac:dyDescent="0.2">
      <c r="I289" s="3"/>
    </row>
    <row r="290" spans="9:9" x14ac:dyDescent="0.2">
      <c r="I290" s="3"/>
    </row>
    <row r="291" spans="9:9" x14ac:dyDescent="0.2">
      <c r="I291" s="3"/>
    </row>
    <row r="292" spans="9:9" x14ac:dyDescent="0.2">
      <c r="I292" s="3"/>
    </row>
    <row r="293" spans="9:9" x14ac:dyDescent="0.2">
      <c r="I293" s="3"/>
    </row>
    <row r="294" spans="9:9" x14ac:dyDescent="0.2">
      <c r="I294" s="3"/>
    </row>
    <row r="295" spans="9:9" x14ac:dyDescent="0.2">
      <c r="I295" s="3"/>
    </row>
    <row r="296" spans="9:9" x14ac:dyDescent="0.2">
      <c r="I296" s="3"/>
    </row>
    <row r="297" spans="9:9" x14ac:dyDescent="0.2">
      <c r="I297" s="3"/>
    </row>
    <row r="298" spans="9:9" x14ac:dyDescent="0.2">
      <c r="I298" s="3"/>
    </row>
    <row r="299" spans="9:9" x14ac:dyDescent="0.2">
      <c r="I299" s="3"/>
    </row>
    <row r="300" spans="9:9" x14ac:dyDescent="0.2">
      <c r="I300" s="3"/>
    </row>
    <row r="301" spans="9:9" x14ac:dyDescent="0.2">
      <c r="I301" s="3"/>
    </row>
    <row r="302" spans="9:9" x14ac:dyDescent="0.2">
      <c r="I302" s="3"/>
    </row>
    <row r="303" spans="9:9" x14ac:dyDescent="0.2">
      <c r="I303" s="3"/>
    </row>
    <row r="304" spans="9:9" x14ac:dyDescent="0.2">
      <c r="I304" s="3"/>
    </row>
    <row r="305" spans="9:9" x14ac:dyDescent="0.2">
      <c r="I305" s="3"/>
    </row>
    <row r="306" spans="9:9" x14ac:dyDescent="0.2">
      <c r="I306" s="3"/>
    </row>
    <row r="307" spans="9:9" x14ac:dyDescent="0.2">
      <c r="I307" s="3"/>
    </row>
    <row r="308" spans="9:9" x14ac:dyDescent="0.2">
      <c r="I308" s="3"/>
    </row>
    <row r="309" spans="9:9" x14ac:dyDescent="0.2">
      <c r="I309" s="3"/>
    </row>
    <row r="310" spans="9:9" x14ac:dyDescent="0.2">
      <c r="I310" s="3"/>
    </row>
    <row r="311" spans="9:9" x14ac:dyDescent="0.2">
      <c r="I311" s="3"/>
    </row>
    <row r="312" spans="9:9" x14ac:dyDescent="0.2">
      <c r="I312" s="3"/>
    </row>
    <row r="313" spans="9:9" x14ac:dyDescent="0.2">
      <c r="I313" s="3"/>
    </row>
    <row r="314" spans="9:9" x14ac:dyDescent="0.2">
      <c r="I314" s="3"/>
    </row>
    <row r="315" spans="9:9" x14ac:dyDescent="0.2">
      <c r="I315" s="3"/>
    </row>
    <row r="316" spans="9:9" x14ac:dyDescent="0.2">
      <c r="I316" s="3"/>
    </row>
    <row r="317" spans="9:9" x14ac:dyDescent="0.2">
      <c r="I317" s="3"/>
    </row>
    <row r="318" spans="9:9" x14ac:dyDescent="0.2">
      <c r="I318" s="3"/>
    </row>
    <row r="319" spans="9:9" x14ac:dyDescent="0.2">
      <c r="I319" s="3"/>
    </row>
    <row r="320" spans="9:9" x14ac:dyDescent="0.2">
      <c r="I320" s="3"/>
    </row>
    <row r="321" spans="9:9" x14ac:dyDescent="0.2">
      <c r="I321" s="3"/>
    </row>
    <row r="322" spans="9:9" x14ac:dyDescent="0.2">
      <c r="I322" s="3"/>
    </row>
    <row r="323" spans="9:9" x14ac:dyDescent="0.2">
      <c r="I323" s="3"/>
    </row>
    <row r="324" spans="9:9" x14ac:dyDescent="0.2">
      <c r="I324" s="3"/>
    </row>
    <row r="325" spans="9:9" x14ac:dyDescent="0.2">
      <c r="I325" s="3"/>
    </row>
    <row r="326" spans="9:9" x14ac:dyDescent="0.2">
      <c r="I326" s="3"/>
    </row>
    <row r="327" spans="9:9" x14ac:dyDescent="0.2">
      <c r="I327" s="3"/>
    </row>
    <row r="328" spans="9:9" x14ac:dyDescent="0.2">
      <c r="I328" s="3"/>
    </row>
    <row r="329" spans="9:9" x14ac:dyDescent="0.2">
      <c r="I329" s="3"/>
    </row>
    <row r="330" spans="9:9" x14ac:dyDescent="0.2">
      <c r="I330" s="3"/>
    </row>
    <row r="331" spans="9:9" x14ac:dyDescent="0.2">
      <c r="I331" s="3"/>
    </row>
    <row r="332" spans="9:9" x14ac:dyDescent="0.2">
      <c r="I332" s="3"/>
    </row>
    <row r="333" spans="9:9" x14ac:dyDescent="0.2">
      <c r="I333" s="3"/>
    </row>
    <row r="334" spans="9:9" x14ac:dyDescent="0.2">
      <c r="I334" s="3"/>
    </row>
    <row r="335" spans="9:9" x14ac:dyDescent="0.2">
      <c r="I335" s="3"/>
    </row>
    <row r="336" spans="9:9" x14ac:dyDescent="0.2">
      <c r="I336" s="3"/>
    </row>
    <row r="337" spans="9:9" x14ac:dyDescent="0.2">
      <c r="I337" s="3"/>
    </row>
    <row r="338" spans="9:9" x14ac:dyDescent="0.2">
      <c r="I338" s="3"/>
    </row>
    <row r="339" spans="9:9" x14ac:dyDescent="0.2">
      <c r="I339" s="3"/>
    </row>
    <row r="340" spans="9:9" x14ac:dyDescent="0.2">
      <c r="I340" s="3"/>
    </row>
    <row r="341" spans="9:9" x14ac:dyDescent="0.2">
      <c r="I341" s="3"/>
    </row>
    <row r="342" spans="9:9" x14ac:dyDescent="0.2">
      <c r="I342" s="3"/>
    </row>
    <row r="343" spans="9:9" x14ac:dyDescent="0.2">
      <c r="I343" s="3"/>
    </row>
    <row r="344" spans="9:9" x14ac:dyDescent="0.2">
      <c r="I344" s="3"/>
    </row>
    <row r="345" spans="9:9" x14ac:dyDescent="0.2">
      <c r="I345" s="3"/>
    </row>
    <row r="346" spans="9:9" x14ac:dyDescent="0.2">
      <c r="I346" s="3"/>
    </row>
    <row r="347" spans="9:9" x14ac:dyDescent="0.2">
      <c r="I347" s="3"/>
    </row>
    <row r="348" spans="9:9" x14ac:dyDescent="0.2">
      <c r="I348" s="3"/>
    </row>
    <row r="349" spans="9:9" x14ac:dyDescent="0.2">
      <c r="I349" s="3"/>
    </row>
    <row r="350" spans="9:9" x14ac:dyDescent="0.2">
      <c r="I350" s="3"/>
    </row>
    <row r="351" spans="9:9" x14ac:dyDescent="0.2">
      <c r="I351" s="3"/>
    </row>
    <row r="352" spans="9:9" x14ac:dyDescent="0.2">
      <c r="I352" s="3"/>
    </row>
    <row r="353" spans="9:9" x14ac:dyDescent="0.2">
      <c r="I353" s="3"/>
    </row>
    <row r="354" spans="9:9" x14ac:dyDescent="0.2">
      <c r="I354" s="3"/>
    </row>
    <row r="355" spans="9:9" x14ac:dyDescent="0.2">
      <c r="I355" s="3"/>
    </row>
    <row r="356" spans="9:9" x14ac:dyDescent="0.2">
      <c r="I356" s="3"/>
    </row>
    <row r="357" spans="9:9" x14ac:dyDescent="0.2">
      <c r="I357" s="3"/>
    </row>
    <row r="358" spans="9:9" x14ac:dyDescent="0.2">
      <c r="I358" s="3"/>
    </row>
    <row r="359" spans="9:9" x14ac:dyDescent="0.2">
      <c r="I359" s="3"/>
    </row>
    <row r="360" spans="9:9" x14ac:dyDescent="0.2">
      <c r="I360" s="3"/>
    </row>
    <row r="361" spans="9:9" x14ac:dyDescent="0.2">
      <c r="I361" s="3"/>
    </row>
    <row r="362" spans="9:9" x14ac:dyDescent="0.2">
      <c r="I362" s="3"/>
    </row>
    <row r="363" spans="9:9" x14ac:dyDescent="0.2">
      <c r="I363" s="3"/>
    </row>
    <row r="364" spans="9:9" x14ac:dyDescent="0.2">
      <c r="I364" s="3"/>
    </row>
    <row r="365" spans="9:9" x14ac:dyDescent="0.2">
      <c r="I365" s="3"/>
    </row>
    <row r="366" spans="9:9" x14ac:dyDescent="0.2">
      <c r="I366" s="3"/>
    </row>
    <row r="367" spans="9:9" x14ac:dyDescent="0.2">
      <c r="I367" s="3"/>
    </row>
    <row r="368" spans="9:9" x14ac:dyDescent="0.2">
      <c r="I368" s="3"/>
    </row>
    <row r="369" spans="9:9" x14ac:dyDescent="0.2">
      <c r="I369" s="3"/>
    </row>
    <row r="370" spans="9:9" x14ac:dyDescent="0.2">
      <c r="I370" s="3"/>
    </row>
    <row r="371" spans="9:9" x14ac:dyDescent="0.2">
      <c r="I371" s="3"/>
    </row>
    <row r="372" spans="9:9" x14ac:dyDescent="0.2">
      <c r="I372" s="3"/>
    </row>
    <row r="373" spans="9:9" x14ac:dyDescent="0.2">
      <c r="I373" s="3"/>
    </row>
    <row r="374" spans="9:9" x14ac:dyDescent="0.2">
      <c r="I374" s="3"/>
    </row>
    <row r="375" spans="9:9" x14ac:dyDescent="0.2">
      <c r="I375" s="3"/>
    </row>
    <row r="376" spans="9:9" x14ac:dyDescent="0.2">
      <c r="I376" s="3"/>
    </row>
    <row r="377" spans="9:9" x14ac:dyDescent="0.2">
      <c r="I377" s="3"/>
    </row>
    <row r="378" spans="9:9" x14ac:dyDescent="0.2">
      <c r="I378" s="3"/>
    </row>
    <row r="379" spans="9:9" x14ac:dyDescent="0.2">
      <c r="I379" s="3"/>
    </row>
    <row r="380" spans="9:9" x14ac:dyDescent="0.2">
      <c r="I380" s="3"/>
    </row>
    <row r="381" spans="9:9" x14ac:dyDescent="0.2">
      <c r="I381" s="3"/>
    </row>
    <row r="382" spans="9:9" x14ac:dyDescent="0.2">
      <c r="I382" s="3"/>
    </row>
    <row r="383" spans="9:9" x14ac:dyDescent="0.2">
      <c r="I383" s="3"/>
    </row>
    <row r="384" spans="9:9" x14ac:dyDescent="0.2">
      <c r="I384" s="3"/>
    </row>
    <row r="385" spans="9:9" x14ac:dyDescent="0.2">
      <c r="I385" s="3"/>
    </row>
    <row r="386" spans="9:9" x14ac:dyDescent="0.2">
      <c r="I386" s="3"/>
    </row>
    <row r="387" spans="9:9" x14ac:dyDescent="0.2">
      <c r="I387" s="3"/>
    </row>
    <row r="388" spans="9:9" x14ac:dyDescent="0.2">
      <c r="I388" s="3"/>
    </row>
    <row r="389" spans="9:9" x14ac:dyDescent="0.2">
      <c r="I389" s="3"/>
    </row>
    <row r="390" spans="9:9" x14ac:dyDescent="0.2">
      <c r="I390" s="3"/>
    </row>
    <row r="391" spans="9:9" x14ac:dyDescent="0.2">
      <c r="I391" s="3"/>
    </row>
    <row r="392" spans="9:9" x14ac:dyDescent="0.2">
      <c r="I392" s="3"/>
    </row>
    <row r="393" spans="9:9" x14ac:dyDescent="0.2">
      <c r="I393" s="3"/>
    </row>
    <row r="394" spans="9:9" x14ac:dyDescent="0.2">
      <c r="I394" s="3"/>
    </row>
    <row r="395" spans="9:9" x14ac:dyDescent="0.2">
      <c r="I395" s="3"/>
    </row>
    <row r="396" spans="9:9" x14ac:dyDescent="0.2">
      <c r="I396" s="3"/>
    </row>
    <row r="397" spans="9:9" x14ac:dyDescent="0.2">
      <c r="I397" s="3"/>
    </row>
    <row r="398" spans="9:9" x14ac:dyDescent="0.2">
      <c r="I398" s="3"/>
    </row>
    <row r="399" spans="9:9" x14ac:dyDescent="0.2">
      <c r="I399" s="3"/>
    </row>
    <row r="400" spans="9:9" x14ac:dyDescent="0.2">
      <c r="I400" s="3"/>
    </row>
    <row r="401" spans="9:9" x14ac:dyDescent="0.2">
      <c r="I401" s="3"/>
    </row>
    <row r="402" spans="9:9" x14ac:dyDescent="0.2">
      <c r="I402" s="3"/>
    </row>
    <row r="403" spans="9:9" x14ac:dyDescent="0.2">
      <c r="I403" s="3"/>
    </row>
    <row r="404" spans="9:9" x14ac:dyDescent="0.2">
      <c r="I404" s="3"/>
    </row>
    <row r="405" spans="9:9" x14ac:dyDescent="0.2">
      <c r="I405" s="3"/>
    </row>
    <row r="406" spans="9:9" x14ac:dyDescent="0.2">
      <c r="I406" s="3"/>
    </row>
    <row r="407" spans="9:9" x14ac:dyDescent="0.2">
      <c r="I407" s="3"/>
    </row>
    <row r="408" spans="9:9" x14ac:dyDescent="0.2">
      <c r="I408" s="3"/>
    </row>
    <row r="409" spans="9:9" x14ac:dyDescent="0.2">
      <c r="I409" s="3"/>
    </row>
    <row r="410" spans="9:9" x14ac:dyDescent="0.2">
      <c r="I410" s="3"/>
    </row>
    <row r="411" spans="9:9" x14ac:dyDescent="0.2">
      <c r="I411" s="3"/>
    </row>
    <row r="412" spans="9:9" x14ac:dyDescent="0.2">
      <c r="I412" s="3"/>
    </row>
    <row r="413" spans="9:9" x14ac:dyDescent="0.2">
      <c r="I413" s="3"/>
    </row>
    <row r="414" spans="9:9" x14ac:dyDescent="0.2">
      <c r="I414" s="3"/>
    </row>
    <row r="415" spans="9:9" x14ac:dyDescent="0.2">
      <c r="I415" s="3"/>
    </row>
    <row r="416" spans="9:9" x14ac:dyDescent="0.2">
      <c r="I416" s="3"/>
    </row>
    <row r="417" spans="9:9" x14ac:dyDescent="0.2">
      <c r="I417" s="3"/>
    </row>
    <row r="418" spans="9:9" x14ac:dyDescent="0.2">
      <c r="I418" s="3"/>
    </row>
    <row r="419" spans="9:9" x14ac:dyDescent="0.2">
      <c r="I419" s="3"/>
    </row>
    <row r="420" spans="9:9" x14ac:dyDescent="0.2">
      <c r="I420" s="3"/>
    </row>
    <row r="421" spans="9:9" x14ac:dyDescent="0.2">
      <c r="I421" s="3"/>
    </row>
    <row r="422" spans="9:9" x14ac:dyDescent="0.2">
      <c r="I422" s="3"/>
    </row>
    <row r="423" spans="9:9" x14ac:dyDescent="0.2">
      <c r="I423" s="3"/>
    </row>
    <row r="424" spans="9:9" x14ac:dyDescent="0.2">
      <c r="I424" s="3"/>
    </row>
    <row r="425" spans="9:9" x14ac:dyDescent="0.2">
      <c r="I425" s="3"/>
    </row>
    <row r="426" spans="9:9" x14ac:dyDescent="0.2">
      <c r="I426" s="3"/>
    </row>
    <row r="427" spans="9:9" x14ac:dyDescent="0.2">
      <c r="I427" s="3"/>
    </row>
    <row r="428" spans="9:9" x14ac:dyDescent="0.2">
      <c r="I428" s="3"/>
    </row>
    <row r="429" spans="9:9" x14ac:dyDescent="0.2">
      <c r="I429" s="3"/>
    </row>
    <row r="430" spans="9:9" x14ac:dyDescent="0.2">
      <c r="I430" s="3"/>
    </row>
    <row r="431" spans="9:9" x14ac:dyDescent="0.2">
      <c r="I431" s="3"/>
    </row>
    <row r="432" spans="9:9" x14ac:dyDescent="0.2">
      <c r="I432" s="3"/>
    </row>
    <row r="433" spans="9:9" x14ac:dyDescent="0.2">
      <c r="I433" s="3"/>
    </row>
    <row r="434" spans="9:9" x14ac:dyDescent="0.2">
      <c r="I434" s="3"/>
    </row>
    <row r="435" spans="9:9" x14ac:dyDescent="0.2">
      <c r="I435" s="3"/>
    </row>
    <row r="436" spans="9:9" x14ac:dyDescent="0.2">
      <c r="I436" s="3"/>
    </row>
    <row r="437" spans="9:9" x14ac:dyDescent="0.2">
      <c r="I437" s="3"/>
    </row>
    <row r="438" spans="9:9" x14ac:dyDescent="0.2">
      <c r="I438" s="3"/>
    </row>
    <row r="439" spans="9:9" x14ac:dyDescent="0.2">
      <c r="I439" s="3"/>
    </row>
    <row r="440" spans="9:9" x14ac:dyDescent="0.2">
      <c r="I440" s="3"/>
    </row>
    <row r="441" spans="9:9" x14ac:dyDescent="0.2">
      <c r="I441" s="3"/>
    </row>
    <row r="442" spans="9:9" x14ac:dyDescent="0.2">
      <c r="I442" s="3"/>
    </row>
    <row r="443" spans="9:9" x14ac:dyDescent="0.2">
      <c r="I443" s="3"/>
    </row>
    <row r="444" spans="9:9" x14ac:dyDescent="0.2">
      <c r="I444" s="3"/>
    </row>
    <row r="445" spans="9:9" x14ac:dyDescent="0.2">
      <c r="I445" s="3"/>
    </row>
    <row r="446" spans="9:9" x14ac:dyDescent="0.2">
      <c r="I446" s="3"/>
    </row>
    <row r="447" spans="9:9" x14ac:dyDescent="0.2">
      <c r="I447" s="3"/>
    </row>
    <row r="448" spans="9:9" x14ac:dyDescent="0.2">
      <c r="I448" s="3"/>
    </row>
    <row r="449" spans="9:9" x14ac:dyDescent="0.2">
      <c r="I449" s="3"/>
    </row>
    <row r="450" spans="9:9" x14ac:dyDescent="0.2">
      <c r="I450" s="3"/>
    </row>
    <row r="451" spans="9:9" x14ac:dyDescent="0.2">
      <c r="I451" s="3"/>
    </row>
    <row r="452" spans="9:9" x14ac:dyDescent="0.2">
      <c r="I452" s="3"/>
    </row>
    <row r="453" spans="9:9" x14ac:dyDescent="0.2">
      <c r="I453" s="3"/>
    </row>
    <row r="454" spans="9:9" x14ac:dyDescent="0.2">
      <c r="I454" s="3"/>
    </row>
  </sheetData>
  <mergeCells count="90">
    <mergeCell ref="R2:AA2"/>
    <mergeCell ref="R3:AA3"/>
    <mergeCell ref="B73:C73"/>
    <mergeCell ref="B74:C74"/>
    <mergeCell ref="D73:E73"/>
    <mergeCell ref="D74:E74"/>
    <mergeCell ref="J2:Q2"/>
    <mergeCell ref="J3:Q3"/>
    <mergeCell ref="B22:E22"/>
    <mergeCell ref="B31:E31"/>
    <mergeCell ref="J4:Q4"/>
    <mergeCell ref="J5:Q5"/>
    <mergeCell ref="B6:J6"/>
    <mergeCell ref="B35:E35"/>
    <mergeCell ref="B36:E36"/>
    <mergeCell ref="B10:E10"/>
    <mergeCell ref="J1:AA1"/>
    <mergeCell ref="J77:L77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R76:AA77"/>
    <mergeCell ref="M77:Q77"/>
    <mergeCell ref="R4:AA5"/>
    <mergeCell ref="A28:G30"/>
    <mergeCell ref="A32:E34"/>
    <mergeCell ref="A75:E75"/>
    <mergeCell ref="A73:A74"/>
    <mergeCell ref="B49:E49"/>
    <mergeCell ref="B67:E67"/>
    <mergeCell ref="B70:E70"/>
    <mergeCell ref="B69:E69"/>
    <mergeCell ref="B68:E68"/>
    <mergeCell ref="B66:E66"/>
    <mergeCell ref="N76:Q76"/>
    <mergeCell ref="B40:E40"/>
    <mergeCell ref="A71:A72"/>
    <mergeCell ref="B71:E72"/>
    <mergeCell ref="B3:D3"/>
    <mergeCell ref="E4:G4"/>
    <mergeCell ref="B24:E24"/>
    <mergeCell ref="B25:E25"/>
    <mergeCell ref="B26:E26"/>
    <mergeCell ref="B27:E27"/>
    <mergeCell ref="B64:E64"/>
    <mergeCell ref="B65:E65"/>
    <mergeCell ref="B11:E11"/>
    <mergeCell ref="B38:E38"/>
    <mergeCell ref="B39:E39"/>
    <mergeCell ref="B23:E23"/>
    <mergeCell ref="B8:E8"/>
    <mergeCell ref="A77:H77"/>
    <mergeCell ref="A76:F76"/>
    <mergeCell ref="J76:M76"/>
    <mergeCell ref="B12:E12"/>
    <mergeCell ref="B13:E13"/>
    <mergeCell ref="B63:E63"/>
    <mergeCell ref="B41:E41"/>
    <mergeCell ref="B42:E42"/>
    <mergeCell ref="B43:E43"/>
    <mergeCell ref="B61:E61"/>
    <mergeCell ref="B62:E62"/>
    <mergeCell ref="B37:E37"/>
    <mergeCell ref="B44:E44"/>
    <mergeCell ref="B45:E45"/>
    <mergeCell ref="K9:AA75"/>
    <mergeCell ref="A46:E48"/>
    <mergeCell ref="K6:AA8"/>
    <mergeCell ref="A1:I1"/>
    <mergeCell ref="B14:E14"/>
    <mergeCell ref="B15:E15"/>
    <mergeCell ref="B21:E21"/>
    <mergeCell ref="B16:E16"/>
    <mergeCell ref="B17:E17"/>
    <mergeCell ref="B18:E18"/>
    <mergeCell ref="B19:E19"/>
    <mergeCell ref="B20:E20"/>
    <mergeCell ref="B9:E9"/>
    <mergeCell ref="E2:G2"/>
    <mergeCell ref="E3:G3"/>
    <mergeCell ref="B5:G5"/>
    <mergeCell ref="B4:D4"/>
  </mergeCells>
  <hyperlinks>
    <hyperlink ref="J3" r:id="rId1" xr:uid="{00000000-0004-0000-0000-000000000000}"/>
  </hyperlinks>
  <pageMargins left="0.25" right="0.25" top="0.75" bottom="0.75" header="0.3" footer="0.3"/>
  <pageSetup paperSize="9" scale="77" fitToHeight="0" orientation="landscape" horizontalDpi="360" verticalDpi="360" r:id="rId2"/>
  <ignoredErrors>
    <ignoredError sqref="I77" evalError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F2F7E-215D-574D-B636-07258246FF4D}">
  <sheetPr>
    <pageSetUpPr fitToPage="1"/>
  </sheetPr>
  <dimension ref="A1:AH455"/>
  <sheetViews>
    <sheetView zoomScale="109" zoomScaleNormal="100" workbookViewId="0">
      <pane ySplit="8" topLeftCell="A9" activePane="bottomLeft" state="frozen"/>
      <selection pane="bottomLeft" activeCell="Y8" sqref="Y8:AA8"/>
    </sheetView>
  </sheetViews>
  <sheetFormatPr baseColWidth="10" defaultColWidth="9.1640625" defaultRowHeight="15" x14ac:dyDescent="0.2"/>
  <cols>
    <col min="1" max="1" width="13.1640625" style="2" customWidth="1"/>
    <col min="2" max="3" width="9.1640625" style="2"/>
    <col min="4" max="5" width="9.1640625" style="2" customWidth="1"/>
    <col min="6" max="7" width="6.5" style="2" customWidth="1"/>
    <col min="8" max="8" width="13.33203125" style="2" bestFit="1" customWidth="1"/>
    <col min="9" max="9" width="17.1640625" style="2" customWidth="1"/>
    <col min="10" max="10" width="9.33203125" style="1" customWidth="1"/>
    <col min="11" max="29" width="4.1640625" style="2" customWidth="1"/>
    <col min="30" max="34" width="9.1640625" style="2"/>
  </cols>
  <sheetData>
    <row r="1" spans="1:34" ht="39" customHeight="1" x14ac:dyDescent="0.2">
      <c r="A1" s="183" t="s">
        <v>46</v>
      </c>
      <c r="B1" s="183"/>
      <c r="C1" s="183"/>
      <c r="D1" s="183"/>
      <c r="E1" s="183"/>
      <c r="F1" s="183"/>
      <c r="G1" s="183"/>
      <c r="H1" s="183"/>
      <c r="I1" s="183"/>
      <c r="J1" s="184" t="s">
        <v>23</v>
      </c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</row>
    <row r="2" spans="1:34" x14ac:dyDescent="0.2">
      <c r="A2" s="17" t="s">
        <v>12</v>
      </c>
      <c r="B2" s="18"/>
      <c r="C2" s="17"/>
      <c r="D2" s="19"/>
      <c r="E2" s="81" t="s">
        <v>7</v>
      </c>
      <c r="F2" s="82"/>
      <c r="G2" s="83"/>
      <c r="H2" s="31" t="s">
        <v>8</v>
      </c>
      <c r="I2" s="29">
        <f>'ALS 10 BAZAR'!I2</f>
        <v>46213</v>
      </c>
      <c r="J2" s="145" t="s">
        <v>29</v>
      </c>
      <c r="K2" s="145"/>
      <c r="L2" s="145"/>
      <c r="M2" s="145"/>
      <c r="N2" s="145"/>
      <c r="O2" s="145"/>
      <c r="P2" s="145"/>
      <c r="Q2" s="145"/>
      <c r="R2" s="142" t="s">
        <v>35</v>
      </c>
      <c r="S2" s="142"/>
      <c r="T2" s="142"/>
      <c r="U2" s="142"/>
      <c r="V2" s="142"/>
      <c r="W2" s="142"/>
      <c r="X2" s="142"/>
      <c r="Y2" s="142"/>
      <c r="Z2" s="142"/>
      <c r="AA2" s="142"/>
    </row>
    <row r="3" spans="1:34" x14ac:dyDescent="0.2">
      <c r="A3" s="13" t="s">
        <v>4</v>
      </c>
      <c r="B3" s="84" t="str">
        <f>'ALS 10 BAZAR'!B3:D3</f>
        <v>VR VAROES</v>
      </c>
      <c r="C3" s="85"/>
      <c r="D3" s="86"/>
      <c r="E3" s="84">
        <f>'ALS 10 BAZAR'!E3:G3</f>
        <v>0</v>
      </c>
      <c r="F3" s="85"/>
      <c r="G3" s="86"/>
      <c r="H3" s="32" t="s">
        <v>9</v>
      </c>
      <c r="I3" s="28" t="str">
        <f>'ALS 10 BAZAR'!I3</f>
        <v>IMEDIATO</v>
      </c>
      <c r="J3" s="146" t="s">
        <v>44</v>
      </c>
      <c r="K3" s="146"/>
      <c r="L3" s="146"/>
      <c r="M3" s="146"/>
      <c r="N3" s="146"/>
      <c r="O3" s="146"/>
      <c r="P3" s="146"/>
      <c r="Q3" s="146"/>
      <c r="R3" s="143" t="s">
        <v>36</v>
      </c>
      <c r="S3" s="143"/>
      <c r="T3" s="143"/>
      <c r="U3" s="143"/>
      <c r="V3" s="143"/>
      <c r="W3" s="143"/>
      <c r="X3" s="143"/>
      <c r="Y3" s="143"/>
      <c r="Z3" s="143"/>
      <c r="AA3" s="143"/>
    </row>
    <row r="4" spans="1:34" ht="15" customHeight="1" x14ac:dyDescent="0.2">
      <c r="A4" s="13" t="s">
        <v>2</v>
      </c>
      <c r="B4" s="84" t="str">
        <f>'ALS 10 BAZAR'!B4:D4</f>
        <v>RODRIGO</v>
      </c>
      <c r="C4" s="85"/>
      <c r="D4" s="86"/>
      <c r="E4" s="84">
        <f>'ALS 10 BAZAR'!E4:G4</f>
        <v>0</v>
      </c>
      <c r="F4" s="85"/>
      <c r="G4" s="86"/>
      <c r="H4" s="32" t="s">
        <v>11</v>
      </c>
      <c r="I4" s="30">
        <v>0.33</v>
      </c>
      <c r="J4" s="147" t="s">
        <v>21</v>
      </c>
      <c r="K4" s="147"/>
      <c r="L4" s="147"/>
      <c r="M4" s="147"/>
      <c r="N4" s="147"/>
      <c r="O4" s="147"/>
      <c r="P4" s="147"/>
      <c r="Q4" s="147"/>
      <c r="R4" s="141" t="s">
        <v>42</v>
      </c>
      <c r="S4" s="141"/>
      <c r="T4" s="141"/>
      <c r="U4" s="141"/>
      <c r="V4" s="141"/>
      <c r="W4" s="141"/>
      <c r="X4" s="141"/>
      <c r="Y4" s="141"/>
      <c r="Z4" s="141"/>
      <c r="AA4" s="141"/>
    </row>
    <row r="5" spans="1:34" x14ac:dyDescent="0.2">
      <c r="A5" s="13" t="s">
        <v>5</v>
      </c>
      <c r="B5" s="84" t="str">
        <f>'ALS 10 BAZAR'!B5:G5</f>
        <v>BOLETO 30/45/60/75/90/105</v>
      </c>
      <c r="C5" s="85"/>
      <c r="D5" s="85"/>
      <c r="E5" s="85"/>
      <c r="F5" s="85"/>
      <c r="G5" s="86"/>
      <c r="H5" s="33" t="s">
        <v>3</v>
      </c>
      <c r="I5" s="34"/>
      <c r="J5" s="148" t="s">
        <v>31</v>
      </c>
      <c r="K5" s="148"/>
      <c r="L5" s="148"/>
      <c r="M5" s="148"/>
      <c r="N5" s="148"/>
      <c r="O5" s="148"/>
      <c r="P5" s="148"/>
      <c r="Q5" s="148"/>
      <c r="R5" s="141"/>
      <c r="S5" s="141"/>
      <c r="T5" s="141"/>
      <c r="U5" s="141"/>
      <c r="V5" s="141"/>
      <c r="W5" s="141"/>
      <c r="X5" s="141"/>
      <c r="Y5" s="141"/>
      <c r="Z5" s="141"/>
      <c r="AA5" s="141"/>
    </row>
    <row r="6" spans="1:34" x14ac:dyDescent="0.2">
      <c r="A6" s="13" t="s">
        <v>6</v>
      </c>
      <c r="B6" s="172" t="s">
        <v>43</v>
      </c>
      <c r="C6" s="172"/>
      <c r="D6" s="172"/>
      <c r="E6" s="172"/>
      <c r="F6" s="172"/>
      <c r="G6" s="172"/>
      <c r="H6" s="172"/>
      <c r="I6" s="172"/>
      <c r="J6" s="172"/>
      <c r="K6" s="65" t="s">
        <v>52</v>
      </c>
      <c r="L6" s="67"/>
      <c r="M6" s="65" t="s">
        <v>26</v>
      </c>
      <c r="N6" s="67"/>
      <c r="O6" s="173" t="s">
        <v>53</v>
      </c>
      <c r="P6" s="174"/>
      <c r="Q6" s="65" t="s">
        <v>54</v>
      </c>
      <c r="R6" s="67"/>
      <c r="S6" s="173" t="s">
        <v>56</v>
      </c>
      <c r="T6" s="174"/>
      <c r="U6" s="173" t="s">
        <v>55</v>
      </c>
      <c r="V6" s="174"/>
      <c r="W6" s="65" t="s">
        <v>50</v>
      </c>
      <c r="X6" s="67"/>
      <c r="Y6" s="173" t="s">
        <v>57</v>
      </c>
      <c r="Z6" s="177"/>
      <c r="AA6" s="174"/>
    </row>
    <row r="7" spans="1:34" s="2" customFormat="1" x14ac:dyDescent="0.2">
      <c r="A7" s="13" t="s">
        <v>24</v>
      </c>
      <c r="B7" s="20" t="s">
        <v>19</v>
      </c>
      <c r="C7" s="21" t="str">
        <f>'ALS 10 BAZAR'!C7</f>
        <v>CIF</v>
      </c>
      <c r="D7" s="20" t="s">
        <v>25</v>
      </c>
      <c r="E7" s="22" t="str">
        <f>'ALS 10 BAZAR'!E7</f>
        <v>NÃO</v>
      </c>
      <c r="F7" s="20" t="s">
        <v>26</v>
      </c>
      <c r="G7" s="22" t="str">
        <f>'ALS 10 BAZAR'!G7</f>
        <v>NÃO</v>
      </c>
      <c r="H7" s="20" t="s">
        <v>27</v>
      </c>
      <c r="I7" s="36" t="str">
        <f>'ALS 10 BAZAR'!I7</f>
        <v>SIM</v>
      </c>
      <c r="J7" s="35"/>
      <c r="K7" s="71"/>
      <c r="L7" s="73"/>
      <c r="M7" s="71"/>
      <c r="N7" s="73"/>
      <c r="O7" s="175"/>
      <c r="P7" s="176"/>
      <c r="Q7" s="71"/>
      <c r="R7" s="73"/>
      <c r="S7" s="175"/>
      <c r="T7" s="176"/>
      <c r="U7" s="175"/>
      <c r="V7" s="176"/>
      <c r="W7" s="71"/>
      <c r="X7" s="73"/>
      <c r="Y7" s="175"/>
      <c r="Z7" s="178"/>
      <c r="AA7" s="176"/>
    </row>
    <row r="8" spans="1:34" ht="36" customHeight="1" x14ac:dyDescent="0.2">
      <c r="A8" s="14" t="s">
        <v>20</v>
      </c>
      <c r="B8" s="87" t="s">
        <v>15</v>
      </c>
      <c r="C8" s="88"/>
      <c r="D8" s="88"/>
      <c r="E8" s="89"/>
      <c r="F8" s="25" t="s">
        <v>0</v>
      </c>
      <c r="G8" s="25" t="s">
        <v>1</v>
      </c>
      <c r="H8" s="25" t="s">
        <v>13</v>
      </c>
      <c r="I8" s="26"/>
      <c r="J8" s="27" t="s">
        <v>14</v>
      </c>
      <c r="K8" s="179">
        <v>0.11</v>
      </c>
      <c r="L8" s="180"/>
      <c r="M8" s="150">
        <v>0</v>
      </c>
      <c r="N8" s="151"/>
      <c r="O8" s="150">
        <v>0.03</v>
      </c>
      <c r="P8" s="151"/>
      <c r="Q8" s="181">
        <v>0.26</v>
      </c>
      <c r="R8" s="182"/>
      <c r="S8" s="150">
        <f>SUM(K8:R8)</f>
        <v>0.4</v>
      </c>
      <c r="T8" s="151"/>
      <c r="U8" s="150">
        <v>0.19500000000000001</v>
      </c>
      <c r="V8" s="151"/>
      <c r="W8" s="152">
        <v>12</v>
      </c>
      <c r="X8" s="153"/>
      <c r="Y8" s="154">
        <v>8</v>
      </c>
      <c r="Z8" s="155"/>
      <c r="AA8" s="156"/>
      <c r="AB8" s="24"/>
      <c r="AC8" s="24"/>
      <c r="AD8" s="24"/>
      <c r="AE8" s="23"/>
      <c r="AF8" s="23"/>
      <c r="AG8" s="23"/>
      <c r="AH8" s="23"/>
    </row>
    <row r="9" spans="1:34" x14ac:dyDescent="0.2">
      <c r="A9" s="7">
        <f>'ALS 10 BAZAR'!A9</f>
        <v>0</v>
      </c>
      <c r="B9" s="75" t="str">
        <f>'ALS 10 BAZAR'!B9:E9</f>
        <v>TOALHA EM METRO</v>
      </c>
      <c r="C9" s="76"/>
      <c r="D9" s="76"/>
      <c r="E9" s="77"/>
      <c r="F9" s="37">
        <f>'ALS 10 BAZAR'!F9</f>
        <v>30</v>
      </c>
      <c r="G9" s="38">
        <f>'ALS 10 BAZAR'!G9</f>
        <v>0</v>
      </c>
      <c r="H9" s="5">
        <f t="shared" ref="H9:H72" si="0">F9*G9</f>
        <v>0</v>
      </c>
      <c r="I9" s="4">
        <f>'ALS 10 BAZAR'!I9</f>
        <v>5.2</v>
      </c>
      <c r="J9" s="8">
        <f>H9*I9</f>
        <v>0</v>
      </c>
      <c r="K9" s="75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7"/>
    </row>
    <row r="10" spans="1:34" x14ac:dyDescent="0.2">
      <c r="A10" s="7">
        <f>'ALS 10 BAZAR'!A10</f>
        <v>0</v>
      </c>
      <c r="B10" s="75" t="str">
        <f>'ALS 10 BAZAR'!B10:E10</f>
        <v>TOALHA EM METRO TRANSPARENTE</v>
      </c>
      <c r="C10" s="76"/>
      <c r="D10" s="76"/>
      <c r="E10" s="77"/>
      <c r="F10" s="37">
        <f>'ALS 10 BAZAR'!F10</f>
        <v>30</v>
      </c>
      <c r="G10" s="38">
        <f>'ALS 10 BAZAR'!G10</f>
        <v>0</v>
      </c>
      <c r="H10" s="5">
        <f t="shared" si="0"/>
        <v>0</v>
      </c>
      <c r="I10" s="4">
        <f>'ALS 10 BAZAR'!I10</f>
        <v>0</v>
      </c>
      <c r="J10" s="8">
        <f t="shared" ref="J10:J76" si="1">H10*I10</f>
        <v>0</v>
      </c>
      <c r="K10" s="157" t="s">
        <v>60</v>
      </c>
      <c r="L10" s="158"/>
      <c r="M10" s="161" t="s">
        <v>58</v>
      </c>
      <c r="N10" s="162"/>
      <c r="O10" s="165" t="s">
        <v>59</v>
      </c>
      <c r="P10" s="166"/>
      <c r="Q10" s="166"/>
      <c r="R10" s="166"/>
      <c r="S10" s="167"/>
      <c r="T10" s="96"/>
      <c r="U10" s="97"/>
      <c r="V10" s="97"/>
      <c r="W10" s="97"/>
      <c r="X10" s="97"/>
      <c r="Y10" s="97"/>
      <c r="Z10" s="97"/>
      <c r="AA10" s="98"/>
    </row>
    <row r="11" spans="1:34" x14ac:dyDescent="0.2">
      <c r="A11" s="7">
        <f>'ALS 10 BAZAR'!A11</f>
        <v>0</v>
      </c>
      <c r="B11" s="75" t="str">
        <f>'ALS 10 BAZAR'!B11:E11</f>
        <v>CORTINA BLACK OUT 1,40 X 1,00</v>
      </c>
      <c r="C11" s="76"/>
      <c r="D11" s="76"/>
      <c r="E11" s="77"/>
      <c r="F11" s="37">
        <f>'ALS 10 BAZAR'!F11</f>
        <v>50</v>
      </c>
      <c r="G11" s="38">
        <f>'ALS 10 BAZAR'!G11</f>
        <v>0</v>
      </c>
      <c r="H11" s="5">
        <f t="shared" si="0"/>
        <v>0</v>
      </c>
      <c r="I11" s="4">
        <f>'ALS 10 BAZAR'!I11</f>
        <v>7.5</v>
      </c>
      <c r="J11" s="8">
        <f t="shared" si="1"/>
        <v>0</v>
      </c>
      <c r="K11" s="159"/>
      <c r="L11" s="160"/>
      <c r="M11" s="163"/>
      <c r="N11" s="164"/>
      <c r="O11" s="168"/>
      <c r="P11" s="169"/>
      <c r="Q11" s="169"/>
      <c r="R11" s="169"/>
      <c r="S11" s="170"/>
      <c r="T11" s="99"/>
      <c r="U11" s="100"/>
      <c r="V11" s="100"/>
      <c r="W11" s="100"/>
      <c r="X11" s="100"/>
      <c r="Y11" s="100"/>
      <c r="Z11" s="100"/>
      <c r="AA11" s="101"/>
    </row>
    <row r="12" spans="1:34" x14ac:dyDescent="0.2">
      <c r="A12" s="7">
        <f>'ALS 10 BAZAR'!A12</f>
        <v>0</v>
      </c>
      <c r="B12" s="75" t="str">
        <f>'ALS 10 BAZAR'!B12:E12</f>
        <v>CORTINA DE BOX 1,80 X 1,20</v>
      </c>
      <c r="C12" s="76"/>
      <c r="D12" s="76"/>
      <c r="E12" s="77"/>
      <c r="F12" s="37">
        <f>'ALS 10 BAZAR'!F12</f>
        <v>50</v>
      </c>
      <c r="G12" s="38">
        <f>'ALS 10 BAZAR'!G12</f>
        <v>0</v>
      </c>
      <c r="H12" s="5">
        <f t="shared" si="0"/>
        <v>0</v>
      </c>
      <c r="I12" s="4">
        <f>'ALS 10 BAZAR'!I12</f>
        <v>0</v>
      </c>
      <c r="J12" s="8">
        <f t="shared" si="1"/>
        <v>0</v>
      </c>
      <c r="K12" s="171">
        <f>W8*S8</f>
        <v>4.8000000000000007</v>
      </c>
      <c r="L12" s="110"/>
      <c r="M12" s="171">
        <f>Y8*U8</f>
        <v>1.56</v>
      </c>
      <c r="N12" s="110"/>
      <c r="O12" s="171">
        <f>Y8+K12-M12</f>
        <v>11.24</v>
      </c>
      <c r="P12" s="109"/>
      <c r="Q12" s="109"/>
      <c r="R12" s="109"/>
      <c r="S12" s="110"/>
      <c r="T12" s="99"/>
      <c r="U12" s="100"/>
      <c r="V12" s="100"/>
      <c r="W12" s="100"/>
      <c r="X12" s="100"/>
      <c r="Y12" s="100"/>
      <c r="Z12" s="100"/>
      <c r="AA12" s="101"/>
    </row>
    <row r="13" spans="1:34" x14ac:dyDescent="0.2">
      <c r="A13" s="7">
        <f>'ALS 10 BAZAR'!A13</f>
        <v>0</v>
      </c>
      <c r="B13" s="75" t="str">
        <f>'ALS 10 BAZAR'!B13:E13</f>
        <v>CAPA MAQ. DE LAVAR 12/17KG</v>
      </c>
      <c r="C13" s="76"/>
      <c r="D13" s="76"/>
      <c r="E13" s="77"/>
      <c r="F13" s="37">
        <f>'ALS 10 BAZAR'!F13</f>
        <v>25</v>
      </c>
      <c r="G13" s="38">
        <f>'ALS 10 BAZAR'!G13</f>
        <v>0</v>
      </c>
      <c r="H13" s="5">
        <f t="shared" si="0"/>
        <v>0</v>
      </c>
      <c r="I13" s="4">
        <f>'ALS 10 BAZAR'!I13</f>
        <v>7.5</v>
      </c>
      <c r="J13" s="8">
        <f t="shared" si="1"/>
        <v>0</v>
      </c>
      <c r="K13" s="111"/>
      <c r="L13" s="113"/>
      <c r="M13" s="111"/>
      <c r="N13" s="113"/>
      <c r="O13" s="111"/>
      <c r="P13" s="112"/>
      <c r="Q13" s="112"/>
      <c r="R13" s="112"/>
      <c r="S13" s="113"/>
      <c r="T13" s="99"/>
      <c r="U13" s="100"/>
      <c r="V13" s="100"/>
      <c r="W13" s="100"/>
      <c r="X13" s="100"/>
      <c r="Y13" s="100"/>
      <c r="Z13" s="100"/>
      <c r="AA13" s="101"/>
    </row>
    <row r="14" spans="1:34" x14ac:dyDescent="0.2">
      <c r="A14" s="7">
        <f>'ALS 10 BAZAR'!A14</f>
        <v>0</v>
      </c>
      <c r="B14" s="75" t="str">
        <f>'ALS 10 BAZAR'!B14:E14</f>
        <v>CAPA MAQ. DE LAVAR 7/11KG</v>
      </c>
      <c r="C14" s="76"/>
      <c r="D14" s="76"/>
      <c r="E14" s="77"/>
      <c r="F14" s="37">
        <f>'ALS 10 BAZAR'!F14</f>
        <v>25</v>
      </c>
      <c r="G14" s="38">
        <f>'ALS 10 BAZAR'!G14</f>
        <v>0</v>
      </c>
      <c r="H14" s="5">
        <f t="shared" si="0"/>
        <v>0</v>
      </c>
      <c r="I14" s="4">
        <f>'ALS 10 BAZAR'!I14</f>
        <v>7.5</v>
      </c>
      <c r="J14" s="8">
        <f t="shared" si="1"/>
        <v>0</v>
      </c>
      <c r="K14" s="99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1"/>
    </row>
    <row r="15" spans="1:34" x14ac:dyDescent="0.2">
      <c r="A15" s="7">
        <f>'ALS 10 BAZAR'!A15</f>
        <v>0</v>
      </c>
      <c r="B15" s="75" t="str">
        <f>'ALS 10 BAZAR'!B15:E15</f>
        <v>VARAO DE CORTINA 1,5M BRANCO</v>
      </c>
      <c r="C15" s="76"/>
      <c r="D15" s="76"/>
      <c r="E15" s="77"/>
      <c r="F15" s="37">
        <f>'ALS 10 BAZAR'!F15</f>
        <v>10</v>
      </c>
      <c r="G15" s="38">
        <f>'ALS 10 BAZAR'!G15</f>
        <v>40</v>
      </c>
      <c r="H15" s="5">
        <f t="shared" si="0"/>
        <v>400</v>
      </c>
      <c r="I15" s="4">
        <f>'ALS 10 BAZAR'!I15</f>
        <v>5.6</v>
      </c>
      <c r="J15" s="8">
        <f t="shared" si="1"/>
        <v>2240</v>
      </c>
      <c r="K15" s="99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1"/>
    </row>
    <row r="16" spans="1:34" x14ac:dyDescent="0.2">
      <c r="A16" s="7">
        <f>'ALS 10 BAZAR'!A16</f>
        <v>0</v>
      </c>
      <c r="B16" s="75" t="str">
        <f>'ALS 10 BAZAR'!B16:E16</f>
        <v>VARAO DE CORTINA 2M BRANCO</v>
      </c>
      <c r="C16" s="76"/>
      <c r="D16" s="76"/>
      <c r="E16" s="77"/>
      <c r="F16" s="37">
        <f>'ALS 10 BAZAR'!F16</f>
        <v>10</v>
      </c>
      <c r="G16" s="38">
        <f>'ALS 10 BAZAR'!G16</f>
        <v>40</v>
      </c>
      <c r="H16" s="5">
        <f t="shared" si="0"/>
        <v>400</v>
      </c>
      <c r="I16" s="4">
        <f>'ALS 10 BAZAR'!I16</f>
        <v>6.5</v>
      </c>
      <c r="J16" s="8">
        <f t="shared" si="1"/>
        <v>2600</v>
      </c>
      <c r="K16" s="99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1"/>
    </row>
    <row r="17" spans="1:27" x14ac:dyDescent="0.2">
      <c r="A17" s="7">
        <f>'ALS 10 BAZAR'!A17</f>
        <v>0</v>
      </c>
      <c r="B17" s="75" t="str">
        <f>'ALS 10 BAZAR'!B17:E17</f>
        <v>VARAO DE CORTINA 2,5M BRANCO</v>
      </c>
      <c r="C17" s="76"/>
      <c r="D17" s="76"/>
      <c r="E17" s="77"/>
      <c r="F17" s="37">
        <f>'ALS 10 BAZAR'!F17</f>
        <v>10</v>
      </c>
      <c r="G17" s="38">
        <f>'ALS 10 BAZAR'!G17</f>
        <v>40</v>
      </c>
      <c r="H17" s="5">
        <f t="shared" si="0"/>
        <v>400</v>
      </c>
      <c r="I17" s="4">
        <f>'ALS 10 BAZAR'!I17</f>
        <v>7.6</v>
      </c>
      <c r="J17" s="8">
        <f t="shared" si="1"/>
        <v>3040</v>
      </c>
      <c r="K17" s="99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1"/>
    </row>
    <row r="18" spans="1:27" x14ac:dyDescent="0.2">
      <c r="A18" s="7">
        <f>'ALS 10 BAZAR'!A18</f>
        <v>0</v>
      </c>
      <c r="B18" s="75" t="str">
        <f>'ALS 10 BAZAR'!B18:E18</f>
        <v>VARAO DE CORTINA 1,5M IMBUIA</v>
      </c>
      <c r="C18" s="76"/>
      <c r="D18" s="76"/>
      <c r="E18" s="77"/>
      <c r="F18" s="37">
        <f>'ALS 10 BAZAR'!F18</f>
        <v>10</v>
      </c>
      <c r="G18" s="38">
        <f>'ALS 10 BAZAR'!G18</f>
        <v>40</v>
      </c>
      <c r="H18" s="5">
        <f t="shared" si="0"/>
        <v>400</v>
      </c>
      <c r="I18" s="4">
        <f>'ALS 10 BAZAR'!I18</f>
        <v>5.6</v>
      </c>
      <c r="J18" s="8">
        <f t="shared" si="1"/>
        <v>2240</v>
      </c>
      <c r="K18" s="99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1"/>
    </row>
    <row r="19" spans="1:27" x14ac:dyDescent="0.2">
      <c r="A19" s="7">
        <f>'ALS 10 BAZAR'!A19</f>
        <v>0</v>
      </c>
      <c r="B19" s="75" t="str">
        <f>'ALS 10 BAZAR'!B19:E19</f>
        <v>VARAO DE CORTINA 2M IMBUIA</v>
      </c>
      <c r="C19" s="76"/>
      <c r="D19" s="76"/>
      <c r="E19" s="77"/>
      <c r="F19" s="37">
        <f>'ALS 10 BAZAR'!F19</f>
        <v>10</v>
      </c>
      <c r="G19" s="38">
        <f>'ALS 10 BAZAR'!G19</f>
        <v>60</v>
      </c>
      <c r="H19" s="5">
        <f t="shared" si="0"/>
        <v>600</v>
      </c>
      <c r="I19" s="4">
        <f>'ALS 10 BAZAR'!I19</f>
        <v>6.5</v>
      </c>
      <c r="J19" s="8">
        <f t="shared" si="1"/>
        <v>3900</v>
      </c>
      <c r="K19" s="99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1"/>
    </row>
    <row r="20" spans="1:27" x14ac:dyDescent="0.2">
      <c r="A20" s="7">
        <f>'ALS 10 BAZAR'!A20</f>
        <v>0</v>
      </c>
      <c r="B20" s="75" t="str">
        <f>'ALS 10 BAZAR'!B20:E20</f>
        <v>VARAO DE CORTINA 2,5M IMBUIA</v>
      </c>
      <c r="C20" s="76"/>
      <c r="D20" s="76"/>
      <c r="E20" s="77"/>
      <c r="F20" s="37">
        <f>'ALS 10 BAZAR'!F20</f>
        <v>10</v>
      </c>
      <c r="G20" s="38">
        <f>'ALS 10 BAZAR'!G20</f>
        <v>40</v>
      </c>
      <c r="H20" s="5">
        <f t="shared" si="0"/>
        <v>400</v>
      </c>
      <c r="I20" s="4">
        <f>'ALS 10 BAZAR'!I20</f>
        <v>7.6</v>
      </c>
      <c r="J20" s="8">
        <f t="shared" si="1"/>
        <v>3040</v>
      </c>
      <c r="K20" s="99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1"/>
    </row>
    <row r="21" spans="1:27" x14ac:dyDescent="0.2">
      <c r="A21" s="7">
        <f>'ALS 10 BAZAR'!A21</f>
        <v>0</v>
      </c>
      <c r="B21" s="75" t="str">
        <f>'ALS 10 BAZAR'!B21:E21</f>
        <v>VARAO DE CORTINA 1,5M BEGE</v>
      </c>
      <c r="C21" s="76"/>
      <c r="D21" s="76"/>
      <c r="E21" s="77"/>
      <c r="F21" s="37">
        <f>'ALS 10 BAZAR'!F21</f>
        <v>10</v>
      </c>
      <c r="G21" s="38">
        <f>'ALS 10 BAZAR'!G21</f>
        <v>40</v>
      </c>
      <c r="H21" s="5">
        <f t="shared" si="0"/>
        <v>400</v>
      </c>
      <c r="I21" s="4">
        <f>'ALS 10 BAZAR'!I21</f>
        <v>5.6</v>
      </c>
      <c r="J21" s="8">
        <f t="shared" si="1"/>
        <v>2240</v>
      </c>
      <c r="K21" s="99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1"/>
    </row>
    <row r="22" spans="1:27" x14ac:dyDescent="0.2">
      <c r="A22" s="7">
        <f>'ALS 10 BAZAR'!A22</f>
        <v>0</v>
      </c>
      <c r="B22" s="75" t="str">
        <f>'ALS 10 BAZAR'!B22:E22</f>
        <v>VARAO DE CORTINA 2M BEGE</v>
      </c>
      <c r="C22" s="76"/>
      <c r="D22" s="76"/>
      <c r="E22" s="77"/>
      <c r="F22" s="37">
        <f>'ALS 10 BAZAR'!F22</f>
        <v>10</v>
      </c>
      <c r="G22" s="38">
        <f>'ALS 10 BAZAR'!G22</f>
        <v>40</v>
      </c>
      <c r="H22" s="5">
        <f t="shared" si="0"/>
        <v>400</v>
      </c>
      <c r="I22" s="4">
        <f>'ALS 10 BAZAR'!I22</f>
        <v>6.5</v>
      </c>
      <c r="J22" s="8">
        <f t="shared" si="1"/>
        <v>2600</v>
      </c>
      <c r="K22" s="99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1"/>
    </row>
    <row r="23" spans="1:27" x14ac:dyDescent="0.2">
      <c r="A23" s="7">
        <f>'ALS 10 BAZAR'!A23</f>
        <v>0</v>
      </c>
      <c r="B23" s="75" t="str">
        <f>'ALS 10 BAZAR'!B23:E23</f>
        <v>VARAO DE CORTINA 2,5M BEGE</v>
      </c>
      <c r="C23" s="76"/>
      <c r="D23" s="76"/>
      <c r="E23" s="77"/>
      <c r="F23" s="37">
        <f>'ALS 10 BAZAR'!F23</f>
        <v>10</v>
      </c>
      <c r="G23" s="38">
        <f>'ALS 10 BAZAR'!G23</f>
        <v>40</v>
      </c>
      <c r="H23" s="5">
        <f t="shared" si="0"/>
        <v>400</v>
      </c>
      <c r="I23" s="4">
        <f>'ALS 10 BAZAR'!I23</f>
        <v>7.6</v>
      </c>
      <c r="J23" s="8">
        <f t="shared" si="1"/>
        <v>3040</v>
      </c>
      <c r="K23" s="99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1"/>
    </row>
    <row r="24" spans="1:27" x14ac:dyDescent="0.2">
      <c r="A24" s="7">
        <f>'ALS 10 BAZAR'!A24</f>
        <v>0</v>
      </c>
      <c r="B24" s="75" t="str">
        <f>'ALS 10 BAZAR'!B24:E24</f>
        <v>VARAO 2M ROSA</v>
      </c>
      <c r="C24" s="76"/>
      <c r="D24" s="76"/>
      <c r="E24" s="77"/>
      <c r="F24" s="37">
        <f>'ALS 10 BAZAR'!F24</f>
        <v>10</v>
      </c>
      <c r="G24" s="38">
        <f>'ALS 10 BAZAR'!G24</f>
        <v>50</v>
      </c>
      <c r="H24" s="5">
        <f t="shared" si="0"/>
        <v>500</v>
      </c>
      <c r="I24" s="4">
        <f>'ALS 10 BAZAR'!I24</f>
        <v>6.5</v>
      </c>
      <c r="J24" s="8">
        <f t="shared" si="1"/>
        <v>3250</v>
      </c>
      <c r="K24" s="99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1"/>
    </row>
    <row r="25" spans="1:27" x14ac:dyDescent="0.2">
      <c r="A25" s="7">
        <f>'ALS 10 BAZAR'!A25</f>
        <v>0</v>
      </c>
      <c r="B25" s="75" t="str">
        <f>'ALS 10 BAZAR'!B25:E25</f>
        <v>VARAO 2M AZUL</v>
      </c>
      <c r="C25" s="76"/>
      <c r="D25" s="76"/>
      <c r="E25" s="77"/>
      <c r="F25" s="37">
        <f>'ALS 10 BAZAR'!F25</f>
        <v>10</v>
      </c>
      <c r="G25" s="38">
        <f>'ALS 10 BAZAR'!G25</f>
        <v>50</v>
      </c>
      <c r="H25" s="5">
        <f t="shared" si="0"/>
        <v>500</v>
      </c>
      <c r="I25" s="4">
        <f>'ALS 10 BAZAR'!I25</f>
        <v>6.5</v>
      </c>
      <c r="J25" s="8">
        <f t="shared" si="1"/>
        <v>3250</v>
      </c>
      <c r="K25" s="99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1"/>
    </row>
    <row r="26" spans="1:27" x14ac:dyDescent="0.2">
      <c r="A26" s="7">
        <f>'ALS 10 BAZAR'!A26</f>
        <v>0</v>
      </c>
      <c r="B26" s="75">
        <f>'ALS 10 BAZAR'!B26:E26</f>
        <v>0</v>
      </c>
      <c r="C26" s="76"/>
      <c r="D26" s="76"/>
      <c r="E26" s="77"/>
      <c r="F26" s="37">
        <f>'ALS 10 BAZAR'!F26</f>
        <v>0</v>
      </c>
      <c r="G26" s="38">
        <f>'ALS 10 BAZAR'!G26</f>
        <v>0</v>
      </c>
      <c r="H26" s="5">
        <f t="shared" si="0"/>
        <v>0</v>
      </c>
      <c r="I26" s="4">
        <f>'ALS 10 BAZAR'!I26</f>
        <v>0</v>
      </c>
      <c r="J26" s="8">
        <f t="shared" si="1"/>
        <v>0</v>
      </c>
      <c r="K26" s="99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1"/>
    </row>
    <row r="27" spans="1:27" x14ac:dyDescent="0.2">
      <c r="A27" s="7">
        <f>'ALS 10 BAZAR'!A27</f>
        <v>0</v>
      </c>
      <c r="B27" s="75">
        <f>'ALS 10 BAZAR'!B27:E27</f>
        <v>0</v>
      </c>
      <c r="C27" s="76"/>
      <c r="D27" s="76"/>
      <c r="E27" s="77"/>
      <c r="F27" s="37">
        <f>'ALS 10 BAZAR'!F27</f>
        <v>0</v>
      </c>
      <c r="G27" s="38">
        <f>'ALS 10 BAZAR'!G27</f>
        <v>0</v>
      </c>
      <c r="H27" s="5">
        <f t="shared" si="0"/>
        <v>0</v>
      </c>
      <c r="I27" s="4">
        <f>'ALS 10 BAZAR'!I27</f>
        <v>0</v>
      </c>
      <c r="J27" s="8">
        <f t="shared" si="1"/>
        <v>0</v>
      </c>
      <c r="K27" s="99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1"/>
    </row>
    <row r="28" spans="1:27" x14ac:dyDescent="0.2">
      <c r="A28" s="7" t="str">
        <f>'ALS 10 BAZAR'!A28</f>
        <v xml:space="preserve">  PEDIDO FATURAR NO PRESUMIDO CREDITO DE 12%</v>
      </c>
      <c r="B28" s="75">
        <f>'ALS 10 BAZAR'!B28:E28</f>
        <v>0</v>
      </c>
      <c r="C28" s="76"/>
      <c r="D28" s="76"/>
      <c r="E28" s="77"/>
      <c r="F28" s="37">
        <f>'ALS 10 BAZAR'!F28</f>
        <v>0</v>
      </c>
      <c r="G28" s="38">
        <f>'ALS 10 BAZAR'!G28</f>
        <v>0</v>
      </c>
      <c r="H28" s="5">
        <f t="shared" si="0"/>
        <v>0</v>
      </c>
      <c r="I28" s="4">
        <f>'ALS 10 BAZAR'!I28</f>
        <v>0</v>
      </c>
      <c r="J28" s="8">
        <f t="shared" si="1"/>
        <v>0</v>
      </c>
      <c r="K28" s="99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1"/>
    </row>
    <row r="29" spans="1:27" x14ac:dyDescent="0.2">
      <c r="A29" s="7">
        <f>'ALS 10 BAZAR'!A29</f>
        <v>0</v>
      </c>
      <c r="B29" s="75">
        <f>'ALS 10 BAZAR'!B29:E29</f>
        <v>0</v>
      </c>
      <c r="C29" s="76"/>
      <c r="D29" s="76"/>
      <c r="E29" s="77"/>
      <c r="F29" s="37">
        <f>'ALS 10 BAZAR'!F29</f>
        <v>0</v>
      </c>
      <c r="G29" s="38">
        <f>'ALS 10 BAZAR'!G29</f>
        <v>0</v>
      </c>
      <c r="H29" s="5">
        <f t="shared" si="0"/>
        <v>0</v>
      </c>
      <c r="I29" s="4">
        <f>'ALS 10 BAZAR'!I29</f>
        <v>0</v>
      </c>
      <c r="J29" s="8">
        <f t="shared" si="1"/>
        <v>0</v>
      </c>
      <c r="K29" s="99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1"/>
    </row>
    <row r="30" spans="1:27" x14ac:dyDescent="0.2">
      <c r="A30" s="7">
        <f>'ALS 10 BAZAR'!A30</f>
        <v>0</v>
      </c>
      <c r="B30" s="75">
        <f>'ALS 10 BAZAR'!B30:E30</f>
        <v>0</v>
      </c>
      <c r="C30" s="76"/>
      <c r="D30" s="76"/>
      <c r="E30" s="77"/>
      <c r="F30" s="37">
        <f>'ALS 10 BAZAR'!F30</f>
        <v>0</v>
      </c>
      <c r="G30" s="38">
        <f>'ALS 10 BAZAR'!G30</f>
        <v>0</v>
      </c>
      <c r="H30" s="5">
        <f t="shared" si="0"/>
        <v>0</v>
      </c>
      <c r="I30" s="4">
        <f>'ALS 10 BAZAR'!I30</f>
        <v>0</v>
      </c>
      <c r="J30" s="8">
        <f t="shared" si="1"/>
        <v>0</v>
      </c>
      <c r="K30" s="99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1"/>
    </row>
    <row r="31" spans="1:27" x14ac:dyDescent="0.2">
      <c r="A31" s="7">
        <f>'ALS 10 BAZAR'!A31</f>
        <v>0</v>
      </c>
      <c r="B31" s="75">
        <f>'ALS 10 BAZAR'!B31:E31</f>
        <v>0</v>
      </c>
      <c r="C31" s="76"/>
      <c r="D31" s="76"/>
      <c r="E31" s="77"/>
      <c r="F31" s="37">
        <f>'ALS 10 BAZAR'!F31</f>
        <v>0</v>
      </c>
      <c r="G31" s="38">
        <f>'ALS 10 BAZAR'!G31</f>
        <v>0</v>
      </c>
      <c r="H31" s="5">
        <f t="shared" si="0"/>
        <v>0</v>
      </c>
      <c r="I31" s="4">
        <f>'ALS 10 BAZAR'!I31</f>
        <v>0</v>
      </c>
      <c r="J31" s="8">
        <f t="shared" si="1"/>
        <v>0</v>
      </c>
      <c r="K31" s="99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1"/>
    </row>
    <row r="32" spans="1:27" x14ac:dyDescent="0.2">
      <c r="A32" s="7" t="str">
        <f>'ALS 10 BAZAR'!A32</f>
        <v>MANDAR 2 EXPOSITOR</v>
      </c>
      <c r="B32" s="75">
        <f>'ALS 10 BAZAR'!B32:E32</f>
        <v>0</v>
      </c>
      <c r="C32" s="76"/>
      <c r="D32" s="76"/>
      <c r="E32" s="77"/>
      <c r="F32" s="37">
        <f>'ALS 10 BAZAR'!F32</f>
        <v>0</v>
      </c>
      <c r="G32" s="38">
        <f>'ALS 10 BAZAR'!G32</f>
        <v>0</v>
      </c>
      <c r="H32" s="5">
        <f t="shared" si="0"/>
        <v>0</v>
      </c>
      <c r="I32" s="4">
        <f>'ALS 10 BAZAR'!I32</f>
        <v>0</v>
      </c>
      <c r="J32" s="8">
        <f t="shared" si="1"/>
        <v>0</v>
      </c>
      <c r="K32" s="99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1"/>
    </row>
    <row r="33" spans="1:27" x14ac:dyDescent="0.2">
      <c r="A33" s="7">
        <f>'ALS 10 BAZAR'!A33</f>
        <v>0</v>
      </c>
      <c r="B33" s="75">
        <f>'ALS 10 BAZAR'!B33:E33</f>
        <v>0</v>
      </c>
      <c r="C33" s="76"/>
      <c r="D33" s="76"/>
      <c r="E33" s="77"/>
      <c r="F33" s="37">
        <f>'ALS 10 BAZAR'!F33</f>
        <v>0</v>
      </c>
      <c r="G33" s="38">
        <f>'ALS 10 BAZAR'!G33</f>
        <v>0</v>
      </c>
      <c r="H33" s="5">
        <f t="shared" si="0"/>
        <v>0</v>
      </c>
      <c r="I33" s="4">
        <f>'ALS 10 BAZAR'!I33</f>
        <v>0</v>
      </c>
      <c r="J33" s="8">
        <f t="shared" si="1"/>
        <v>0</v>
      </c>
      <c r="K33" s="99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1"/>
    </row>
    <row r="34" spans="1:27" x14ac:dyDescent="0.2">
      <c r="A34" s="7">
        <f>'ALS 10 BAZAR'!A34</f>
        <v>0</v>
      </c>
      <c r="B34" s="75">
        <f>'ALS 10 BAZAR'!B34:E34</f>
        <v>0</v>
      </c>
      <c r="C34" s="76"/>
      <c r="D34" s="76"/>
      <c r="E34" s="77"/>
      <c r="F34" s="37">
        <f>'ALS 10 BAZAR'!F34</f>
        <v>0</v>
      </c>
      <c r="G34" s="38">
        <f>'ALS 10 BAZAR'!G34</f>
        <v>0</v>
      </c>
      <c r="H34" s="5">
        <f t="shared" si="0"/>
        <v>0</v>
      </c>
      <c r="I34" s="4">
        <f>'ALS 10 BAZAR'!I34</f>
        <v>0</v>
      </c>
      <c r="J34" s="8">
        <f t="shared" si="1"/>
        <v>0</v>
      </c>
      <c r="K34" s="99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1"/>
    </row>
    <row r="35" spans="1:27" x14ac:dyDescent="0.2">
      <c r="A35" s="7">
        <f>'ALS 10 BAZAR'!A35</f>
        <v>0</v>
      </c>
      <c r="B35" s="75">
        <f>'ALS 10 BAZAR'!B35:E35</f>
        <v>0</v>
      </c>
      <c r="C35" s="76"/>
      <c r="D35" s="76"/>
      <c r="E35" s="77"/>
      <c r="F35" s="37">
        <f>'ALS 10 BAZAR'!F35</f>
        <v>0</v>
      </c>
      <c r="G35" s="38">
        <f>'ALS 10 BAZAR'!G35</f>
        <v>0</v>
      </c>
      <c r="H35" s="5">
        <f t="shared" si="0"/>
        <v>0</v>
      </c>
      <c r="I35" s="4">
        <f>'ALS 10 BAZAR'!I35</f>
        <v>0</v>
      </c>
      <c r="J35" s="8">
        <f t="shared" si="1"/>
        <v>0</v>
      </c>
      <c r="K35" s="99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1"/>
    </row>
    <row r="36" spans="1:27" x14ac:dyDescent="0.2">
      <c r="A36" s="7">
        <f>'ALS 10 BAZAR'!A36</f>
        <v>0</v>
      </c>
      <c r="B36" s="75">
        <f>'ALS 10 BAZAR'!B36:E36</f>
        <v>0</v>
      </c>
      <c r="C36" s="76"/>
      <c r="D36" s="76"/>
      <c r="E36" s="77"/>
      <c r="F36" s="37">
        <f>'ALS 10 BAZAR'!F36</f>
        <v>0</v>
      </c>
      <c r="G36" s="38">
        <f>'ALS 10 BAZAR'!G36</f>
        <v>0</v>
      </c>
      <c r="H36" s="5">
        <f t="shared" si="0"/>
        <v>0</v>
      </c>
      <c r="I36" s="4">
        <f>'ALS 10 BAZAR'!I36</f>
        <v>0</v>
      </c>
      <c r="J36" s="8">
        <f t="shared" si="1"/>
        <v>0</v>
      </c>
      <c r="K36" s="99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1"/>
    </row>
    <row r="37" spans="1:27" x14ac:dyDescent="0.2">
      <c r="A37" s="7">
        <f>'ALS 10 BAZAR'!A37</f>
        <v>0</v>
      </c>
      <c r="B37" s="75">
        <f>'ALS 10 BAZAR'!B37:E37</f>
        <v>0</v>
      </c>
      <c r="C37" s="76"/>
      <c r="D37" s="76"/>
      <c r="E37" s="77"/>
      <c r="F37" s="37">
        <f>'ALS 10 BAZAR'!F37</f>
        <v>0</v>
      </c>
      <c r="G37" s="38">
        <f>'ALS 10 BAZAR'!G37</f>
        <v>0</v>
      </c>
      <c r="H37" s="5">
        <f t="shared" si="0"/>
        <v>0</v>
      </c>
      <c r="I37" s="4">
        <f>'ALS 10 BAZAR'!I37</f>
        <v>0</v>
      </c>
      <c r="J37" s="8">
        <f t="shared" si="1"/>
        <v>0</v>
      </c>
      <c r="K37" s="99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1"/>
    </row>
    <row r="38" spans="1:27" x14ac:dyDescent="0.2">
      <c r="A38" s="7">
        <f>'ALS 10 BAZAR'!A38</f>
        <v>0</v>
      </c>
      <c r="B38" s="75">
        <f>'ALS 10 BAZAR'!B38:E38</f>
        <v>0</v>
      </c>
      <c r="C38" s="76"/>
      <c r="D38" s="76"/>
      <c r="E38" s="77"/>
      <c r="F38" s="37">
        <f>'ALS 10 BAZAR'!F38</f>
        <v>0</v>
      </c>
      <c r="G38" s="38">
        <f>'ALS 10 BAZAR'!G38</f>
        <v>0</v>
      </c>
      <c r="H38" s="5">
        <f t="shared" si="0"/>
        <v>0</v>
      </c>
      <c r="I38" s="4">
        <f>'ALS 10 BAZAR'!I38</f>
        <v>0</v>
      </c>
      <c r="J38" s="8">
        <f t="shared" si="1"/>
        <v>0</v>
      </c>
      <c r="K38" s="99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1"/>
    </row>
    <row r="39" spans="1:27" x14ac:dyDescent="0.2">
      <c r="A39" s="7">
        <f>'ALS 10 BAZAR'!A39</f>
        <v>0</v>
      </c>
      <c r="B39" s="75">
        <f>'ALS 10 BAZAR'!B39:E39</f>
        <v>0</v>
      </c>
      <c r="C39" s="76"/>
      <c r="D39" s="76"/>
      <c r="E39" s="77"/>
      <c r="F39" s="37">
        <f>'ALS 10 BAZAR'!F39</f>
        <v>0</v>
      </c>
      <c r="G39" s="38">
        <f>'ALS 10 BAZAR'!G39</f>
        <v>0</v>
      </c>
      <c r="H39" s="5">
        <f t="shared" si="0"/>
        <v>0</v>
      </c>
      <c r="I39" s="4">
        <f>'ALS 10 BAZAR'!I39</f>
        <v>0</v>
      </c>
      <c r="J39" s="8">
        <f t="shared" si="1"/>
        <v>0</v>
      </c>
      <c r="K39" s="99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1"/>
    </row>
    <row r="40" spans="1:27" x14ac:dyDescent="0.2">
      <c r="A40" s="7">
        <f>'ALS 10 BAZAR'!A40</f>
        <v>0</v>
      </c>
      <c r="B40" s="75">
        <f>'ALS 10 BAZAR'!B40:E40</f>
        <v>0</v>
      </c>
      <c r="C40" s="76"/>
      <c r="D40" s="76"/>
      <c r="E40" s="77"/>
      <c r="F40" s="37">
        <f>'ALS 10 BAZAR'!F40</f>
        <v>0</v>
      </c>
      <c r="G40" s="38">
        <f>'ALS 10 BAZAR'!G40</f>
        <v>0</v>
      </c>
      <c r="H40" s="5">
        <f t="shared" si="0"/>
        <v>0</v>
      </c>
      <c r="I40" s="4">
        <f>'ALS 10 BAZAR'!I40</f>
        <v>0</v>
      </c>
      <c r="J40" s="8">
        <f t="shared" si="1"/>
        <v>0</v>
      </c>
      <c r="K40" s="99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1"/>
    </row>
    <row r="41" spans="1:27" x14ac:dyDescent="0.2">
      <c r="A41" s="7">
        <f>'ALS 10 BAZAR'!A41</f>
        <v>0</v>
      </c>
      <c r="B41" s="75">
        <f>'ALS 10 BAZAR'!B41:E41</f>
        <v>0</v>
      </c>
      <c r="C41" s="76"/>
      <c r="D41" s="76"/>
      <c r="E41" s="77"/>
      <c r="F41" s="37">
        <f>'ALS 10 BAZAR'!F41</f>
        <v>0</v>
      </c>
      <c r="G41" s="38">
        <f>'ALS 10 BAZAR'!G41</f>
        <v>0</v>
      </c>
      <c r="H41" s="5">
        <f t="shared" si="0"/>
        <v>0</v>
      </c>
      <c r="I41" s="4">
        <f>'ALS 10 BAZAR'!I41</f>
        <v>0</v>
      </c>
      <c r="J41" s="8">
        <f t="shared" si="1"/>
        <v>0</v>
      </c>
      <c r="K41" s="99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1"/>
    </row>
    <row r="42" spans="1:27" x14ac:dyDescent="0.2">
      <c r="A42" s="7">
        <f>'ALS 10 BAZAR'!A42</f>
        <v>0</v>
      </c>
      <c r="B42" s="75">
        <f>'ALS 10 BAZAR'!B42:E42</f>
        <v>0</v>
      </c>
      <c r="C42" s="76"/>
      <c r="D42" s="76"/>
      <c r="E42" s="77"/>
      <c r="F42" s="37">
        <f>'ALS 10 BAZAR'!F42</f>
        <v>0</v>
      </c>
      <c r="G42" s="38">
        <f>'ALS 10 BAZAR'!G42</f>
        <v>0</v>
      </c>
      <c r="H42" s="5">
        <f t="shared" si="0"/>
        <v>0</v>
      </c>
      <c r="I42" s="4">
        <f>'ALS 10 BAZAR'!I42</f>
        <v>0</v>
      </c>
      <c r="J42" s="8">
        <f t="shared" si="1"/>
        <v>0</v>
      </c>
      <c r="K42" s="99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1"/>
    </row>
    <row r="43" spans="1:27" x14ac:dyDescent="0.2">
      <c r="A43" s="7">
        <f>'ALS 10 BAZAR'!A43</f>
        <v>0</v>
      </c>
      <c r="B43" s="75">
        <f>'ALS 10 BAZAR'!B43:E43</f>
        <v>0</v>
      </c>
      <c r="C43" s="76"/>
      <c r="D43" s="76"/>
      <c r="E43" s="77"/>
      <c r="F43" s="37">
        <f>'ALS 10 BAZAR'!F43</f>
        <v>0</v>
      </c>
      <c r="G43" s="38">
        <f>'ALS 10 BAZAR'!G43</f>
        <v>0</v>
      </c>
      <c r="H43" s="5">
        <f t="shared" si="0"/>
        <v>0</v>
      </c>
      <c r="I43" s="4">
        <f>'ALS 10 BAZAR'!I43</f>
        <v>0</v>
      </c>
      <c r="J43" s="8">
        <f t="shared" si="1"/>
        <v>0</v>
      </c>
      <c r="K43" s="99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1"/>
    </row>
    <row r="44" spans="1:27" x14ac:dyDescent="0.2">
      <c r="A44" s="7">
        <f>'ALS 10 BAZAR'!A44</f>
        <v>0</v>
      </c>
      <c r="B44" s="75">
        <f>'ALS 10 BAZAR'!B44:E44</f>
        <v>0</v>
      </c>
      <c r="C44" s="76"/>
      <c r="D44" s="76"/>
      <c r="E44" s="77"/>
      <c r="F44" s="37">
        <f>'ALS 10 BAZAR'!F44</f>
        <v>0</v>
      </c>
      <c r="G44" s="38">
        <f>'ALS 10 BAZAR'!G44</f>
        <v>0</v>
      </c>
      <c r="H44" s="5">
        <f t="shared" si="0"/>
        <v>0</v>
      </c>
      <c r="I44" s="4">
        <f>'ALS 10 BAZAR'!I44</f>
        <v>0</v>
      </c>
      <c r="J44" s="8">
        <f t="shared" si="1"/>
        <v>0</v>
      </c>
      <c r="K44" s="99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1"/>
    </row>
    <row r="45" spans="1:27" x14ac:dyDescent="0.2">
      <c r="A45" s="7">
        <f>'ALS 10 BAZAR'!A45</f>
        <v>0</v>
      </c>
      <c r="B45" s="75">
        <f>'ALS 10 BAZAR'!B45:E45</f>
        <v>0</v>
      </c>
      <c r="C45" s="76"/>
      <c r="D45" s="76"/>
      <c r="E45" s="77"/>
      <c r="F45" s="37">
        <f>'ALS 10 BAZAR'!F45</f>
        <v>0</v>
      </c>
      <c r="G45" s="38">
        <f>'ALS 10 BAZAR'!G45</f>
        <v>0</v>
      </c>
      <c r="H45" s="5">
        <f t="shared" si="0"/>
        <v>0</v>
      </c>
      <c r="I45" s="4">
        <f>'ALS 10 BAZAR'!I45</f>
        <v>0</v>
      </c>
      <c r="J45" s="8">
        <f t="shared" si="1"/>
        <v>0</v>
      </c>
      <c r="K45" s="99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1"/>
    </row>
    <row r="46" spans="1:27" x14ac:dyDescent="0.2">
      <c r="A46" s="7">
        <f>'ALS 10 BAZAR'!A46</f>
        <v>0</v>
      </c>
      <c r="B46" s="75">
        <f>'ALS 10 BAZAR'!B46:E46</f>
        <v>0</v>
      </c>
      <c r="C46" s="76"/>
      <c r="D46" s="76"/>
      <c r="E46" s="77"/>
      <c r="F46" s="37">
        <f>'ALS 10 BAZAR'!F46</f>
        <v>0</v>
      </c>
      <c r="G46" s="38">
        <f>'ALS 10 BAZAR'!G46</f>
        <v>0</v>
      </c>
      <c r="H46" s="5">
        <f t="shared" si="0"/>
        <v>0</v>
      </c>
      <c r="I46" s="4">
        <f>'ALS 10 BAZAR'!I46</f>
        <v>0</v>
      </c>
      <c r="J46" s="8">
        <f t="shared" si="1"/>
        <v>0</v>
      </c>
      <c r="K46" s="99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1"/>
    </row>
    <row r="47" spans="1:27" x14ac:dyDescent="0.2">
      <c r="A47" s="7">
        <f>'ALS 10 BAZAR'!A47</f>
        <v>0</v>
      </c>
      <c r="B47" s="75">
        <f>'ALS 10 BAZAR'!B47:E47</f>
        <v>0</v>
      </c>
      <c r="C47" s="76"/>
      <c r="D47" s="76"/>
      <c r="E47" s="77"/>
      <c r="F47" s="37">
        <f>'ALS 10 BAZAR'!F47</f>
        <v>0</v>
      </c>
      <c r="G47" s="38">
        <f>'ALS 10 BAZAR'!G47</f>
        <v>0</v>
      </c>
      <c r="H47" s="5">
        <f t="shared" si="0"/>
        <v>0</v>
      </c>
      <c r="I47" s="4">
        <f>'ALS 10 BAZAR'!I47</f>
        <v>0</v>
      </c>
      <c r="J47" s="8">
        <f t="shared" si="1"/>
        <v>0</v>
      </c>
      <c r="K47" s="99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1"/>
    </row>
    <row r="48" spans="1:27" x14ac:dyDescent="0.2">
      <c r="A48" s="7">
        <f>'ALS 10 BAZAR'!A48</f>
        <v>0</v>
      </c>
      <c r="B48" s="75">
        <f>'ALS 10 BAZAR'!B48:E48</f>
        <v>0</v>
      </c>
      <c r="C48" s="76"/>
      <c r="D48" s="76"/>
      <c r="E48" s="77"/>
      <c r="F48" s="37">
        <f>'ALS 10 BAZAR'!F48</f>
        <v>0</v>
      </c>
      <c r="G48" s="38">
        <f>'ALS 10 BAZAR'!G48</f>
        <v>0</v>
      </c>
      <c r="H48" s="5">
        <f t="shared" si="0"/>
        <v>0</v>
      </c>
      <c r="I48" s="4">
        <f>'ALS 10 BAZAR'!I48</f>
        <v>0</v>
      </c>
      <c r="J48" s="8">
        <f t="shared" si="1"/>
        <v>0</v>
      </c>
      <c r="K48" s="99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1"/>
    </row>
    <row r="49" spans="1:27" x14ac:dyDescent="0.2">
      <c r="A49" s="7">
        <f>'ALS 10 BAZAR'!A49</f>
        <v>0</v>
      </c>
      <c r="B49" s="75">
        <f>'ALS 10 BAZAR'!B49:E49</f>
        <v>0</v>
      </c>
      <c r="C49" s="76"/>
      <c r="D49" s="76"/>
      <c r="E49" s="77"/>
      <c r="F49" s="37">
        <f>'ALS 10 BAZAR'!F49</f>
        <v>0</v>
      </c>
      <c r="G49" s="38">
        <f>'ALS 10 BAZAR'!G49</f>
        <v>0</v>
      </c>
      <c r="H49" s="5">
        <f t="shared" si="0"/>
        <v>0</v>
      </c>
      <c r="I49" s="4">
        <f>'ALS 10 BAZAR'!I49</f>
        <v>0</v>
      </c>
      <c r="J49" s="8">
        <f t="shared" si="1"/>
        <v>0</v>
      </c>
      <c r="K49" s="99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1"/>
    </row>
    <row r="50" spans="1:27" x14ac:dyDescent="0.2">
      <c r="A50" s="7">
        <f>'ALS 10 BAZAR'!A50</f>
        <v>0</v>
      </c>
      <c r="B50" s="75">
        <f>'ALS 10 BAZAR'!B50:E50</f>
        <v>0</v>
      </c>
      <c r="C50" s="76"/>
      <c r="D50" s="76"/>
      <c r="E50" s="77"/>
      <c r="F50" s="37">
        <f>'ALS 10 BAZAR'!F50</f>
        <v>0</v>
      </c>
      <c r="G50" s="38">
        <f>'ALS 10 BAZAR'!G50</f>
        <v>0</v>
      </c>
      <c r="H50" s="5">
        <f t="shared" si="0"/>
        <v>0</v>
      </c>
      <c r="I50" s="4">
        <f>'ALS 10 BAZAR'!I50</f>
        <v>0</v>
      </c>
      <c r="J50" s="8">
        <f t="shared" si="1"/>
        <v>0</v>
      </c>
      <c r="K50" s="99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1"/>
    </row>
    <row r="51" spans="1:27" x14ac:dyDescent="0.2">
      <c r="A51" s="7">
        <f>'ALS 10 BAZAR'!A51</f>
        <v>0</v>
      </c>
      <c r="B51" s="75">
        <f>'ALS 10 BAZAR'!B51:E51</f>
        <v>0</v>
      </c>
      <c r="C51" s="76"/>
      <c r="D51" s="76"/>
      <c r="E51" s="77"/>
      <c r="F51" s="37">
        <f>'ALS 10 BAZAR'!F51</f>
        <v>0</v>
      </c>
      <c r="G51" s="38">
        <f>'ALS 10 BAZAR'!G51</f>
        <v>0</v>
      </c>
      <c r="H51" s="5">
        <f t="shared" si="0"/>
        <v>0</v>
      </c>
      <c r="I51" s="4">
        <f>'ALS 10 BAZAR'!I51</f>
        <v>0</v>
      </c>
      <c r="J51" s="8">
        <f t="shared" si="1"/>
        <v>0</v>
      </c>
      <c r="K51" s="99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1"/>
    </row>
    <row r="52" spans="1:27" x14ac:dyDescent="0.2">
      <c r="A52" s="7">
        <f>'ALS 10 BAZAR'!A52</f>
        <v>0</v>
      </c>
      <c r="B52" s="75">
        <f>'ALS 10 BAZAR'!B52:E52</f>
        <v>0</v>
      </c>
      <c r="C52" s="76"/>
      <c r="D52" s="76"/>
      <c r="E52" s="77"/>
      <c r="F52" s="37">
        <f>'ALS 10 BAZAR'!F52</f>
        <v>0</v>
      </c>
      <c r="G52" s="38">
        <f>'ALS 10 BAZAR'!G52</f>
        <v>0</v>
      </c>
      <c r="H52" s="5">
        <f t="shared" si="0"/>
        <v>0</v>
      </c>
      <c r="I52" s="4">
        <f>'ALS 10 BAZAR'!I52</f>
        <v>0</v>
      </c>
      <c r="J52" s="8">
        <f t="shared" si="1"/>
        <v>0</v>
      </c>
      <c r="K52" s="99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1"/>
    </row>
    <row r="53" spans="1:27" x14ac:dyDescent="0.2">
      <c r="A53" s="7">
        <f>'ALS 10 BAZAR'!A53</f>
        <v>0</v>
      </c>
      <c r="B53" s="75">
        <f>'ALS 10 BAZAR'!B53:E53</f>
        <v>0</v>
      </c>
      <c r="C53" s="76"/>
      <c r="D53" s="76"/>
      <c r="E53" s="77"/>
      <c r="F53" s="37">
        <f>'ALS 10 BAZAR'!F53</f>
        <v>0</v>
      </c>
      <c r="G53" s="38">
        <f>'ALS 10 BAZAR'!G53</f>
        <v>0</v>
      </c>
      <c r="H53" s="5">
        <f t="shared" si="0"/>
        <v>0</v>
      </c>
      <c r="I53" s="4">
        <f>'ALS 10 BAZAR'!I53</f>
        <v>0</v>
      </c>
      <c r="J53" s="8">
        <f t="shared" si="1"/>
        <v>0</v>
      </c>
      <c r="K53" s="99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1"/>
    </row>
    <row r="54" spans="1:27" x14ac:dyDescent="0.2">
      <c r="A54" s="7">
        <f>'ALS 10 BAZAR'!A54</f>
        <v>0</v>
      </c>
      <c r="B54" s="75">
        <f>'ALS 10 BAZAR'!B54:E54</f>
        <v>0</v>
      </c>
      <c r="C54" s="76"/>
      <c r="D54" s="76"/>
      <c r="E54" s="77"/>
      <c r="F54" s="37">
        <f>'ALS 10 BAZAR'!F54</f>
        <v>0</v>
      </c>
      <c r="G54" s="38">
        <f>'ALS 10 BAZAR'!G54</f>
        <v>0</v>
      </c>
      <c r="H54" s="5">
        <f t="shared" si="0"/>
        <v>0</v>
      </c>
      <c r="I54" s="4">
        <f>'ALS 10 BAZAR'!I54</f>
        <v>0</v>
      </c>
      <c r="J54" s="8">
        <f t="shared" si="1"/>
        <v>0</v>
      </c>
      <c r="K54" s="99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1"/>
    </row>
    <row r="55" spans="1:27" x14ac:dyDescent="0.2">
      <c r="A55" s="7">
        <f>'ALS 10 BAZAR'!A55</f>
        <v>0</v>
      </c>
      <c r="B55" s="75">
        <f>'ALS 10 BAZAR'!B55:E55</f>
        <v>0</v>
      </c>
      <c r="C55" s="76"/>
      <c r="D55" s="76"/>
      <c r="E55" s="77"/>
      <c r="F55" s="37">
        <f>'ALS 10 BAZAR'!F55</f>
        <v>0</v>
      </c>
      <c r="G55" s="38">
        <f>'ALS 10 BAZAR'!G55</f>
        <v>0</v>
      </c>
      <c r="H55" s="5">
        <f t="shared" si="0"/>
        <v>0</v>
      </c>
      <c r="I55" s="4">
        <f>'ALS 10 BAZAR'!I55</f>
        <v>0</v>
      </c>
      <c r="J55" s="8">
        <f t="shared" si="1"/>
        <v>0</v>
      </c>
      <c r="K55" s="99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1"/>
    </row>
    <row r="56" spans="1:27" x14ac:dyDescent="0.2">
      <c r="A56" s="7">
        <f>'ALS 10 BAZAR'!A56</f>
        <v>0</v>
      </c>
      <c r="B56" s="75">
        <f>'ALS 10 BAZAR'!B56:E56</f>
        <v>0</v>
      </c>
      <c r="C56" s="76"/>
      <c r="D56" s="76"/>
      <c r="E56" s="77"/>
      <c r="F56" s="37">
        <f>'ALS 10 BAZAR'!F56</f>
        <v>0</v>
      </c>
      <c r="G56" s="38">
        <f>'ALS 10 BAZAR'!G56</f>
        <v>0</v>
      </c>
      <c r="H56" s="5">
        <f t="shared" si="0"/>
        <v>0</v>
      </c>
      <c r="I56" s="4">
        <f>'ALS 10 BAZAR'!I56</f>
        <v>0</v>
      </c>
      <c r="J56" s="8">
        <f t="shared" si="1"/>
        <v>0</v>
      </c>
      <c r="K56" s="99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1"/>
    </row>
    <row r="57" spans="1:27" x14ac:dyDescent="0.2">
      <c r="A57" s="7">
        <f>'ALS 10 BAZAR'!A57</f>
        <v>0</v>
      </c>
      <c r="B57" s="75">
        <f>'ALS 10 BAZAR'!B57:E57</f>
        <v>0</v>
      </c>
      <c r="C57" s="76"/>
      <c r="D57" s="76"/>
      <c r="E57" s="77"/>
      <c r="F57" s="37">
        <f>'ALS 10 BAZAR'!F57</f>
        <v>0</v>
      </c>
      <c r="G57" s="38">
        <f>'ALS 10 BAZAR'!G57</f>
        <v>0</v>
      </c>
      <c r="H57" s="5">
        <f t="shared" si="0"/>
        <v>0</v>
      </c>
      <c r="I57" s="4">
        <f>'ALS 10 BAZAR'!I57</f>
        <v>0</v>
      </c>
      <c r="J57" s="8">
        <f t="shared" si="1"/>
        <v>0</v>
      </c>
      <c r="K57" s="99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1"/>
    </row>
    <row r="58" spans="1:27" x14ac:dyDescent="0.2">
      <c r="A58" s="7">
        <f>'ALS 10 BAZAR'!A58</f>
        <v>0</v>
      </c>
      <c r="B58" s="75">
        <f>'ALS 10 BAZAR'!B58:E58</f>
        <v>0</v>
      </c>
      <c r="C58" s="76"/>
      <c r="D58" s="76"/>
      <c r="E58" s="77"/>
      <c r="F58" s="37">
        <f>'ALS 10 BAZAR'!F58</f>
        <v>0</v>
      </c>
      <c r="G58" s="38">
        <f>'ALS 10 BAZAR'!G58</f>
        <v>0</v>
      </c>
      <c r="H58" s="5">
        <f t="shared" si="0"/>
        <v>0</v>
      </c>
      <c r="I58" s="4">
        <f>'ALS 10 BAZAR'!I58</f>
        <v>0</v>
      </c>
      <c r="J58" s="8">
        <f t="shared" si="1"/>
        <v>0</v>
      </c>
      <c r="K58" s="99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1"/>
    </row>
    <row r="59" spans="1:27" x14ac:dyDescent="0.2">
      <c r="A59" s="7">
        <f>'ALS 10 BAZAR'!A59</f>
        <v>0</v>
      </c>
      <c r="B59" s="75">
        <f>'ALS 10 BAZAR'!B59:E59</f>
        <v>0</v>
      </c>
      <c r="C59" s="76"/>
      <c r="D59" s="76"/>
      <c r="E59" s="77"/>
      <c r="F59" s="37">
        <f>'ALS 10 BAZAR'!F59</f>
        <v>0</v>
      </c>
      <c r="G59" s="38">
        <f>'ALS 10 BAZAR'!G59</f>
        <v>0</v>
      </c>
      <c r="H59" s="5">
        <f t="shared" si="0"/>
        <v>0</v>
      </c>
      <c r="I59" s="4">
        <f>'ALS 10 BAZAR'!I59</f>
        <v>0</v>
      </c>
      <c r="J59" s="8">
        <f t="shared" si="1"/>
        <v>0</v>
      </c>
      <c r="K59" s="99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1"/>
    </row>
    <row r="60" spans="1:27" x14ac:dyDescent="0.2">
      <c r="A60" s="7">
        <f>'ALS 10 BAZAR'!A60</f>
        <v>0</v>
      </c>
      <c r="B60" s="75">
        <f>'ALS 10 BAZAR'!B60:E60</f>
        <v>0</v>
      </c>
      <c r="C60" s="76"/>
      <c r="D60" s="76"/>
      <c r="E60" s="77"/>
      <c r="F60" s="37">
        <f>'ALS 10 BAZAR'!F60</f>
        <v>0</v>
      </c>
      <c r="G60" s="38">
        <f>'ALS 10 BAZAR'!G60</f>
        <v>0</v>
      </c>
      <c r="H60" s="5">
        <f t="shared" si="0"/>
        <v>0</v>
      </c>
      <c r="I60" s="4">
        <f>'ALS 10 BAZAR'!I60</f>
        <v>0</v>
      </c>
      <c r="J60" s="8">
        <f t="shared" si="1"/>
        <v>0</v>
      </c>
      <c r="K60" s="99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1"/>
    </row>
    <row r="61" spans="1:27" x14ac:dyDescent="0.2">
      <c r="A61" s="7">
        <f>'ALS 10 BAZAR'!A61</f>
        <v>0</v>
      </c>
      <c r="B61" s="75">
        <f>'ALS 10 BAZAR'!B61:E61</f>
        <v>0</v>
      </c>
      <c r="C61" s="76"/>
      <c r="D61" s="76"/>
      <c r="E61" s="77"/>
      <c r="F61" s="37">
        <f>'ALS 10 BAZAR'!F61</f>
        <v>0</v>
      </c>
      <c r="G61" s="38">
        <f>'ALS 10 BAZAR'!G61</f>
        <v>0</v>
      </c>
      <c r="H61" s="5">
        <f t="shared" si="0"/>
        <v>0</v>
      </c>
      <c r="I61" s="4">
        <f>'ALS 10 BAZAR'!I61</f>
        <v>0</v>
      </c>
      <c r="J61" s="8">
        <f t="shared" si="1"/>
        <v>0</v>
      </c>
      <c r="K61" s="99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1"/>
    </row>
    <row r="62" spans="1:27" x14ac:dyDescent="0.2">
      <c r="A62" s="7">
        <f>'ALS 10 BAZAR'!A62</f>
        <v>0</v>
      </c>
      <c r="B62" s="75">
        <f>'ALS 10 BAZAR'!B62:E62</f>
        <v>0</v>
      </c>
      <c r="C62" s="76"/>
      <c r="D62" s="76"/>
      <c r="E62" s="77"/>
      <c r="F62" s="37">
        <f>'ALS 10 BAZAR'!F62</f>
        <v>0</v>
      </c>
      <c r="G62" s="38">
        <f>'ALS 10 BAZAR'!G62</f>
        <v>0</v>
      </c>
      <c r="H62" s="5">
        <f t="shared" si="0"/>
        <v>0</v>
      </c>
      <c r="I62" s="4">
        <f>'ALS 10 BAZAR'!I62</f>
        <v>0</v>
      </c>
      <c r="J62" s="8">
        <f t="shared" si="1"/>
        <v>0</v>
      </c>
      <c r="K62" s="99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1"/>
    </row>
    <row r="63" spans="1:27" x14ac:dyDescent="0.2">
      <c r="A63" s="7">
        <f>'ALS 10 BAZAR'!A63</f>
        <v>0</v>
      </c>
      <c r="B63" s="75">
        <f>'ALS 10 BAZAR'!B63:E63</f>
        <v>0</v>
      </c>
      <c r="C63" s="76"/>
      <c r="D63" s="76"/>
      <c r="E63" s="77"/>
      <c r="F63" s="37">
        <f>'ALS 10 BAZAR'!F63</f>
        <v>0</v>
      </c>
      <c r="G63" s="38">
        <f>'ALS 10 BAZAR'!G63</f>
        <v>0</v>
      </c>
      <c r="H63" s="5">
        <f t="shared" si="0"/>
        <v>0</v>
      </c>
      <c r="I63" s="4">
        <f>'ALS 10 BAZAR'!I63</f>
        <v>0</v>
      </c>
      <c r="J63" s="8">
        <f t="shared" si="1"/>
        <v>0</v>
      </c>
      <c r="K63" s="99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1"/>
    </row>
    <row r="64" spans="1:27" x14ac:dyDescent="0.2">
      <c r="A64" s="7">
        <f>'ALS 10 BAZAR'!A64</f>
        <v>0</v>
      </c>
      <c r="B64" s="75">
        <f>'ALS 10 BAZAR'!B64:E64</f>
        <v>0</v>
      </c>
      <c r="C64" s="76"/>
      <c r="D64" s="76"/>
      <c r="E64" s="77"/>
      <c r="F64" s="37">
        <f>'ALS 10 BAZAR'!F64</f>
        <v>0</v>
      </c>
      <c r="G64" s="38">
        <f>'ALS 10 BAZAR'!G64</f>
        <v>0</v>
      </c>
      <c r="H64" s="5">
        <f t="shared" si="0"/>
        <v>0</v>
      </c>
      <c r="I64" s="4">
        <f>'ALS 10 BAZAR'!I64</f>
        <v>0</v>
      </c>
      <c r="J64" s="8">
        <f t="shared" si="1"/>
        <v>0</v>
      </c>
      <c r="K64" s="99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1"/>
    </row>
    <row r="65" spans="1:27" x14ac:dyDescent="0.2">
      <c r="A65" s="7">
        <f>'ALS 10 BAZAR'!A65</f>
        <v>0</v>
      </c>
      <c r="B65" s="75">
        <f>'ALS 10 BAZAR'!B65:E65</f>
        <v>0</v>
      </c>
      <c r="C65" s="76"/>
      <c r="D65" s="76"/>
      <c r="E65" s="77"/>
      <c r="F65" s="37">
        <f>'ALS 10 BAZAR'!F65</f>
        <v>0</v>
      </c>
      <c r="G65" s="38">
        <f>'ALS 10 BAZAR'!G65</f>
        <v>0</v>
      </c>
      <c r="H65" s="5">
        <f t="shared" si="0"/>
        <v>0</v>
      </c>
      <c r="I65" s="4">
        <f>'ALS 10 BAZAR'!I65</f>
        <v>0</v>
      </c>
      <c r="J65" s="8">
        <f t="shared" si="1"/>
        <v>0</v>
      </c>
      <c r="K65" s="99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1"/>
    </row>
    <row r="66" spans="1:27" x14ac:dyDescent="0.2">
      <c r="A66" s="7">
        <f>'ALS 10 BAZAR'!A66</f>
        <v>0</v>
      </c>
      <c r="B66" s="75">
        <f>'ALS 10 BAZAR'!B66:E66</f>
        <v>0</v>
      </c>
      <c r="C66" s="76"/>
      <c r="D66" s="76"/>
      <c r="E66" s="77"/>
      <c r="F66" s="37">
        <f>'ALS 10 BAZAR'!F66</f>
        <v>0</v>
      </c>
      <c r="G66" s="38">
        <f>'ALS 10 BAZAR'!G66</f>
        <v>0</v>
      </c>
      <c r="H66" s="5">
        <f t="shared" si="0"/>
        <v>0</v>
      </c>
      <c r="I66" s="4">
        <f>'ALS 10 BAZAR'!I66</f>
        <v>0</v>
      </c>
      <c r="J66" s="8">
        <f t="shared" si="1"/>
        <v>0</v>
      </c>
      <c r="K66" s="99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1"/>
    </row>
    <row r="67" spans="1:27" x14ac:dyDescent="0.2">
      <c r="A67" s="7">
        <f>'ALS 10 BAZAR'!A67</f>
        <v>0</v>
      </c>
      <c r="B67" s="75">
        <f>'ALS 10 BAZAR'!B67:E67</f>
        <v>0</v>
      </c>
      <c r="C67" s="76"/>
      <c r="D67" s="76"/>
      <c r="E67" s="77"/>
      <c r="F67" s="37">
        <f>'ALS 10 BAZAR'!F67</f>
        <v>0</v>
      </c>
      <c r="G67" s="38">
        <f>'ALS 10 BAZAR'!G67</f>
        <v>0</v>
      </c>
      <c r="H67" s="5">
        <f t="shared" si="0"/>
        <v>0</v>
      </c>
      <c r="I67" s="4">
        <f>'ALS 10 BAZAR'!I67</f>
        <v>0</v>
      </c>
      <c r="J67" s="8">
        <f t="shared" si="1"/>
        <v>0</v>
      </c>
      <c r="K67" s="99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1"/>
    </row>
    <row r="68" spans="1:27" x14ac:dyDescent="0.2">
      <c r="A68" s="7">
        <f>'ALS 10 BAZAR'!A68</f>
        <v>0</v>
      </c>
      <c r="B68" s="75">
        <f>'ALS 10 BAZAR'!B68:E68</f>
        <v>0</v>
      </c>
      <c r="C68" s="76"/>
      <c r="D68" s="76"/>
      <c r="E68" s="77"/>
      <c r="F68" s="37">
        <f>'ALS 10 BAZAR'!F68</f>
        <v>0</v>
      </c>
      <c r="G68" s="38">
        <f>'ALS 10 BAZAR'!G68</f>
        <v>0</v>
      </c>
      <c r="H68" s="5">
        <f t="shared" si="0"/>
        <v>0</v>
      </c>
      <c r="I68" s="4">
        <f>'ALS 10 BAZAR'!I68</f>
        <v>0</v>
      </c>
      <c r="J68" s="8">
        <f t="shared" si="1"/>
        <v>0</v>
      </c>
      <c r="K68" s="99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1"/>
    </row>
    <row r="69" spans="1:27" x14ac:dyDescent="0.2">
      <c r="A69" s="7">
        <f>'ALS 10 BAZAR'!A68</f>
        <v>0</v>
      </c>
      <c r="B69" s="75">
        <f>'ALS 10 BAZAR'!B68:E68</f>
        <v>0</v>
      </c>
      <c r="C69" s="76"/>
      <c r="D69" s="76"/>
      <c r="E69" s="77"/>
      <c r="F69" s="37">
        <f>'ALS 10 BAZAR'!F68</f>
        <v>0</v>
      </c>
      <c r="G69" s="38">
        <f>'ALS 10 BAZAR'!G68</f>
        <v>0</v>
      </c>
      <c r="H69" s="5">
        <f t="shared" si="0"/>
        <v>0</v>
      </c>
      <c r="I69" s="4">
        <f>'ALS 10 BAZAR'!I68</f>
        <v>0</v>
      </c>
      <c r="J69" s="8">
        <f t="shared" si="1"/>
        <v>0</v>
      </c>
      <c r="K69" s="99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1"/>
    </row>
    <row r="70" spans="1:27" x14ac:dyDescent="0.2">
      <c r="A70" s="7">
        <f>'ALS 10 BAZAR'!A69</f>
        <v>0</v>
      </c>
      <c r="B70" s="75">
        <f>'ALS 10 BAZAR'!B69:E69</f>
        <v>0</v>
      </c>
      <c r="C70" s="76"/>
      <c r="D70" s="76"/>
      <c r="E70" s="77"/>
      <c r="F70" s="37">
        <f>'ALS 10 BAZAR'!F69</f>
        <v>0</v>
      </c>
      <c r="G70" s="38">
        <f>'ALS 10 BAZAR'!G69</f>
        <v>0</v>
      </c>
      <c r="H70" s="5">
        <f t="shared" si="0"/>
        <v>0</v>
      </c>
      <c r="I70" s="4">
        <f>'ALS 10 BAZAR'!I69</f>
        <v>0</v>
      </c>
      <c r="J70" s="8">
        <f t="shared" si="1"/>
        <v>0</v>
      </c>
      <c r="K70" s="99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1"/>
    </row>
    <row r="71" spans="1:27" x14ac:dyDescent="0.2">
      <c r="A71" s="7">
        <f>'ALS 10 BAZAR'!A70</f>
        <v>0</v>
      </c>
      <c r="B71" s="75">
        <f>'ALS 10 BAZAR'!B70:E70</f>
        <v>0</v>
      </c>
      <c r="C71" s="76"/>
      <c r="D71" s="76"/>
      <c r="E71" s="77"/>
      <c r="F71" s="37">
        <f>'ALS 10 BAZAR'!F70</f>
        <v>0</v>
      </c>
      <c r="G71" s="38">
        <f>'ALS 10 BAZAR'!G70</f>
        <v>0</v>
      </c>
      <c r="H71" s="5">
        <f t="shared" si="0"/>
        <v>0</v>
      </c>
      <c r="I71" s="4">
        <f>'ALS 10 BAZAR'!I70</f>
        <v>0</v>
      </c>
      <c r="J71" s="8">
        <f t="shared" si="1"/>
        <v>0</v>
      </c>
      <c r="K71" s="99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1"/>
    </row>
    <row r="72" spans="1:27" x14ac:dyDescent="0.2">
      <c r="A72" s="107" t="s">
        <v>37</v>
      </c>
      <c r="B72" s="108"/>
      <c r="C72" s="109"/>
      <c r="D72" s="109"/>
      <c r="E72" s="110"/>
      <c r="F72" s="5"/>
      <c r="G72" s="5"/>
      <c r="H72" s="5">
        <f t="shared" si="0"/>
        <v>0</v>
      </c>
      <c r="I72" s="4"/>
      <c r="J72" s="8">
        <f t="shared" si="1"/>
        <v>0</v>
      </c>
      <c r="K72" s="99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1"/>
    </row>
    <row r="73" spans="1:27" x14ac:dyDescent="0.2">
      <c r="A73" s="107"/>
      <c r="B73" s="111"/>
      <c r="C73" s="112"/>
      <c r="D73" s="112"/>
      <c r="E73" s="113"/>
      <c r="F73" s="5"/>
      <c r="G73" s="5"/>
      <c r="H73" s="5">
        <f t="shared" ref="H73:H76" si="2">F73*G73</f>
        <v>0</v>
      </c>
      <c r="I73" s="4"/>
      <c r="J73" s="8">
        <f t="shared" si="1"/>
        <v>0</v>
      </c>
      <c r="K73" s="99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1"/>
    </row>
    <row r="74" spans="1:27" x14ac:dyDescent="0.2">
      <c r="A74" s="135" t="s">
        <v>41</v>
      </c>
      <c r="B74" s="144" t="s">
        <v>39</v>
      </c>
      <c r="C74" s="144"/>
      <c r="D74" s="144" t="s">
        <v>40</v>
      </c>
      <c r="E74" s="144"/>
      <c r="F74" s="5"/>
      <c r="G74" s="5"/>
      <c r="H74" s="5">
        <f t="shared" si="2"/>
        <v>0</v>
      </c>
      <c r="I74" s="4"/>
      <c r="J74" s="8">
        <f t="shared" si="1"/>
        <v>0</v>
      </c>
      <c r="K74" s="99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1"/>
    </row>
    <row r="75" spans="1:27" x14ac:dyDescent="0.2">
      <c r="A75" s="135"/>
      <c r="B75" s="144"/>
      <c r="C75" s="144"/>
      <c r="D75" s="144"/>
      <c r="E75" s="144"/>
      <c r="F75" s="5"/>
      <c r="G75" s="5"/>
      <c r="H75" s="5">
        <f t="shared" si="2"/>
        <v>0</v>
      </c>
      <c r="I75" s="4"/>
      <c r="J75" s="8">
        <f t="shared" si="1"/>
        <v>0</v>
      </c>
      <c r="K75" s="102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4"/>
    </row>
    <row r="76" spans="1:27" x14ac:dyDescent="0.2">
      <c r="A76" s="132" t="s">
        <v>38</v>
      </c>
      <c r="B76" s="133"/>
      <c r="C76" s="133"/>
      <c r="D76" s="133"/>
      <c r="E76" s="134"/>
      <c r="F76" s="5"/>
      <c r="G76" s="5"/>
      <c r="H76" s="5">
        <f t="shared" si="2"/>
        <v>0</v>
      </c>
      <c r="I76" s="4"/>
      <c r="J76" s="8">
        <f t="shared" si="1"/>
        <v>0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x14ac:dyDescent="0.2">
      <c r="A77" s="75"/>
      <c r="B77" s="76"/>
      <c r="C77" s="76"/>
      <c r="D77" s="76"/>
      <c r="E77" s="76"/>
      <c r="F77" s="77"/>
      <c r="G77" s="6">
        <f t="shared" ref="G77:H77" si="3">SUM(G9:G76)</f>
        <v>480</v>
      </c>
      <c r="H77" s="6">
        <f t="shared" si="3"/>
        <v>4800</v>
      </c>
      <c r="I77" s="16"/>
      <c r="J77" s="93">
        <f>SUM(J9:J76)</f>
        <v>31440</v>
      </c>
      <c r="K77" s="94"/>
      <c r="L77" s="94"/>
      <c r="M77" s="95"/>
      <c r="N77" s="105" t="s">
        <v>14</v>
      </c>
      <c r="O77" s="106"/>
      <c r="P77" s="106"/>
      <c r="Q77" s="106"/>
      <c r="R77" s="140"/>
      <c r="S77" s="140"/>
      <c r="T77" s="140"/>
      <c r="U77" s="140"/>
      <c r="V77" s="140"/>
      <c r="W77" s="140"/>
      <c r="X77" s="140"/>
      <c r="Y77" s="140"/>
      <c r="Z77" s="140"/>
      <c r="AA77" s="140"/>
    </row>
    <row r="78" spans="1:27" x14ac:dyDescent="0.2">
      <c r="A78" s="90" t="s">
        <v>22</v>
      </c>
      <c r="B78" s="91"/>
      <c r="C78" s="91"/>
      <c r="D78" s="91"/>
      <c r="E78" s="91"/>
      <c r="F78" s="91"/>
      <c r="G78" s="91"/>
      <c r="H78" s="92"/>
      <c r="I78" s="15">
        <f>SUMIF(I9:I76,"&gt;0",J9:J76)/(SUMIF(I9:I76,"&gt;0",H9:H76))</f>
        <v>6.55</v>
      </c>
      <c r="J78" s="137">
        <f>H77</f>
        <v>4800</v>
      </c>
      <c r="K78" s="138"/>
      <c r="L78" s="139"/>
      <c r="M78" s="75"/>
      <c r="N78" s="76"/>
      <c r="O78" s="76"/>
      <c r="P78" s="76"/>
      <c r="Q78" s="76"/>
      <c r="R78" s="140"/>
      <c r="S78" s="140"/>
      <c r="T78" s="140"/>
      <c r="U78" s="140"/>
      <c r="V78" s="140"/>
      <c r="W78" s="140"/>
      <c r="X78" s="140"/>
      <c r="Y78" s="140"/>
      <c r="Z78" s="140"/>
      <c r="AA78" s="140"/>
    </row>
    <row r="79" spans="1:27" x14ac:dyDescent="0.2">
      <c r="I79" s="3"/>
    </row>
    <row r="80" spans="1:27" x14ac:dyDescent="0.2">
      <c r="I80" s="3"/>
    </row>
    <row r="81" spans="9:13" x14ac:dyDescent="0.2">
      <c r="I81" s="3"/>
      <c r="J81" s="10"/>
      <c r="K81" s="11"/>
      <c r="L81" s="11"/>
      <c r="M81" s="11"/>
    </row>
    <row r="82" spans="9:13" x14ac:dyDescent="0.2">
      <c r="I82" s="3"/>
      <c r="J82" s="10"/>
      <c r="K82" s="12"/>
      <c r="L82" s="12"/>
      <c r="M82" s="12"/>
    </row>
    <row r="83" spans="9:13" x14ac:dyDescent="0.2">
      <c r="I83" s="3"/>
      <c r="J83" s="9"/>
      <c r="K83" s="11"/>
      <c r="L83" s="11"/>
      <c r="M83" s="11"/>
    </row>
    <row r="84" spans="9:13" x14ac:dyDescent="0.2">
      <c r="I84" s="3"/>
      <c r="J84" s="10"/>
      <c r="K84" s="11"/>
      <c r="L84" s="11"/>
      <c r="M84" s="11"/>
    </row>
    <row r="85" spans="9:13" x14ac:dyDescent="0.2">
      <c r="I85" s="3"/>
    </row>
    <row r="86" spans="9:13" x14ac:dyDescent="0.2">
      <c r="I86" s="3"/>
    </row>
    <row r="87" spans="9:13" x14ac:dyDescent="0.2">
      <c r="I87" s="3"/>
    </row>
    <row r="88" spans="9:13" x14ac:dyDescent="0.2">
      <c r="I88" s="3"/>
    </row>
    <row r="89" spans="9:13" x14ac:dyDescent="0.2">
      <c r="I89" s="3"/>
    </row>
    <row r="90" spans="9:13" x14ac:dyDescent="0.2">
      <c r="I90" s="3"/>
    </row>
    <row r="91" spans="9:13" x14ac:dyDescent="0.2">
      <c r="I91" s="3"/>
    </row>
    <row r="92" spans="9:13" x14ac:dyDescent="0.2">
      <c r="I92" s="3"/>
    </row>
    <row r="93" spans="9:13" x14ac:dyDescent="0.2">
      <c r="I93" s="3"/>
    </row>
    <row r="94" spans="9:13" x14ac:dyDescent="0.2">
      <c r="I94" s="3"/>
    </row>
    <row r="95" spans="9:13" x14ac:dyDescent="0.2">
      <c r="I95" s="3"/>
    </row>
    <row r="96" spans="9:13" x14ac:dyDescent="0.2">
      <c r="I96" s="3"/>
    </row>
    <row r="97" spans="9:9" x14ac:dyDescent="0.2">
      <c r="I97" s="3"/>
    </row>
    <row r="98" spans="9:9" x14ac:dyDescent="0.2">
      <c r="I98" s="3"/>
    </row>
    <row r="99" spans="9:9" x14ac:dyDescent="0.2">
      <c r="I99" s="3"/>
    </row>
    <row r="100" spans="9:9" x14ac:dyDescent="0.2">
      <c r="I100" s="3"/>
    </row>
    <row r="101" spans="9:9" x14ac:dyDescent="0.2">
      <c r="I101" s="3"/>
    </row>
    <row r="102" spans="9:9" x14ac:dyDescent="0.2">
      <c r="I102" s="3"/>
    </row>
    <row r="103" spans="9:9" x14ac:dyDescent="0.2">
      <c r="I103" s="3"/>
    </row>
    <row r="104" spans="9:9" x14ac:dyDescent="0.2">
      <c r="I104" s="3"/>
    </row>
    <row r="105" spans="9:9" x14ac:dyDescent="0.2">
      <c r="I105" s="3"/>
    </row>
    <row r="106" spans="9:9" x14ac:dyDescent="0.2">
      <c r="I106" s="3"/>
    </row>
    <row r="107" spans="9:9" x14ac:dyDescent="0.2">
      <c r="I107" s="3"/>
    </row>
    <row r="108" spans="9:9" x14ac:dyDescent="0.2">
      <c r="I108" s="3"/>
    </row>
    <row r="109" spans="9:9" x14ac:dyDescent="0.2">
      <c r="I109" s="3"/>
    </row>
    <row r="110" spans="9:9" x14ac:dyDescent="0.2">
      <c r="I110" s="3"/>
    </row>
    <row r="111" spans="9:9" x14ac:dyDescent="0.2">
      <c r="I111" s="3"/>
    </row>
    <row r="112" spans="9:9" x14ac:dyDescent="0.2">
      <c r="I112" s="3"/>
    </row>
    <row r="113" spans="9:9" x14ac:dyDescent="0.2">
      <c r="I113" s="3"/>
    </row>
    <row r="114" spans="9:9" x14ac:dyDescent="0.2">
      <c r="I114" s="3"/>
    </row>
    <row r="115" spans="9:9" x14ac:dyDescent="0.2">
      <c r="I115" s="3"/>
    </row>
    <row r="116" spans="9:9" x14ac:dyDescent="0.2">
      <c r="I116" s="3"/>
    </row>
    <row r="117" spans="9:9" x14ac:dyDescent="0.2">
      <c r="I117" s="3"/>
    </row>
    <row r="118" spans="9:9" x14ac:dyDescent="0.2">
      <c r="I118" s="3"/>
    </row>
    <row r="119" spans="9:9" x14ac:dyDescent="0.2">
      <c r="I119" s="3"/>
    </row>
    <row r="120" spans="9:9" x14ac:dyDescent="0.2">
      <c r="I120" s="3"/>
    </row>
    <row r="121" spans="9:9" x14ac:dyDescent="0.2">
      <c r="I121" s="3"/>
    </row>
    <row r="122" spans="9:9" x14ac:dyDescent="0.2">
      <c r="I122" s="3"/>
    </row>
    <row r="123" spans="9:9" x14ac:dyDescent="0.2">
      <c r="I123" s="3"/>
    </row>
    <row r="124" spans="9:9" x14ac:dyDescent="0.2">
      <c r="I124" s="3"/>
    </row>
    <row r="125" spans="9:9" x14ac:dyDescent="0.2">
      <c r="I125" s="3"/>
    </row>
    <row r="126" spans="9:9" x14ac:dyDescent="0.2">
      <c r="I126" s="3"/>
    </row>
    <row r="127" spans="9:9" x14ac:dyDescent="0.2">
      <c r="I127" s="3"/>
    </row>
    <row r="128" spans="9:9" x14ac:dyDescent="0.2">
      <c r="I128" s="3"/>
    </row>
    <row r="129" spans="9:9" x14ac:dyDescent="0.2">
      <c r="I129" s="3"/>
    </row>
    <row r="130" spans="9:9" x14ac:dyDescent="0.2">
      <c r="I130" s="3"/>
    </row>
    <row r="131" spans="9:9" x14ac:dyDescent="0.2">
      <c r="I131" s="3"/>
    </row>
    <row r="132" spans="9:9" x14ac:dyDescent="0.2">
      <c r="I132" s="3"/>
    </row>
    <row r="133" spans="9:9" x14ac:dyDescent="0.2">
      <c r="I133" s="3"/>
    </row>
    <row r="134" spans="9:9" x14ac:dyDescent="0.2">
      <c r="I134" s="3"/>
    </row>
    <row r="135" spans="9:9" x14ac:dyDescent="0.2">
      <c r="I135" s="3"/>
    </row>
    <row r="136" spans="9:9" x14ac:dyDescent="0.2">
      <c r="I136" s="3"/>
    </row>
    <row r="137" spans="9:9" x14ac:dyDescent="0.2">
      <c r="I137" s="3"/>
    </row>
    <row r="138" spans="9:9" x14ac:dyDescent="0.2">
      <c r="I138" s="3"/>
    </row>
    <row r="139" spans="9:9" x14ac:dyDescent="0.2">
      <c r="I139" s="3"/>
    </row>
    <row r="140" spans="9:9" x14ac:dyDescent="0.2">
      <c r="I140" s="3"/>
    </row>
    <row r="141" spans="9:9" x14ac:dyDescent="0.2">
      <c r="I141" s="3"/>
    </row>
    <row r="142" spans="9:9" x14ac:dyDescent="0.2">
      <c r="I142" s="3"/>
    </row>
    <row r="143" spans="9:9" x14ac:dyDescent="0.2">
      <c r="I143" s="3"/>
    </row>
    <row r="144" spans="9:9" x14ac:dyDescent="0.2">
      <c r="I144" s="3"/>
    </row>
    <row r="145" spans="9:9" x14ac:dyDescent="0.2">
      <c r="I145" s="3"/>
    </row>
    <row r="146" spans="9:9" x14ac:dyDescent="0.2">
      <c r="I146" s="3"/>
    </row>
    <row r="147" spans="9:9" x14ac:dyDescent="0.2">
      <c r="I147" s="3"/>
    </row>
    <row r="148" spans="9:9" x14ac:dyDescent="0.2">
      <c r="I148" s="3"/>
    </row>
    <row r="149" spans="9:9" x14ac:dyDescent="0.2">
      <c r="I149" s="3"/>
    </row>
    <row r="150" spans="9:9" x14ac:dyDescent="0.2">
      <c r="I150" s="3"/>
    </row>
    <row r="151" spans="9:9" x14ac:dyDescent="0.2">
      <c r="I151" s="3"/>
    </row>
    <row r="152" spans="9:9" x14ac:dyDescent="0.2">
      <c r="I152" s="3"/>
    </row>
    <row r="153" spans="9:9" x14ac:dyDescent="0.2">
      <c r="I153" s="3"/>
    </row>
    <row r="154" spans="9:9" x14ac:dyDescent="0.2">
      <c r="I154" s="3"/>
    </row>
    <row r="155" spans="9:9" x14ac:dyDescent="0.2">
      <c r="I155" s="3"/>
    </row>
    <row r="156" spans="9:9" x14ac:dyDescent="0.2">
      <c r="I156" s="3"/>
    </row>
    <row r="157" spans="9:9" x14ac:dyDescent="0.2">
      <c r="I157" s="3"/>
    </row>
    <row r="158" spans="9:9" x14ac:dyDescent="0.2">
      <c r="I158" s="3"/>
    </row>
    <row r="159" spans="9:9" x14ac:dyDescent="0.2">
      <c r="I159" s="3"/>
    </row>
    <row r="160" spans="9:9" x14ac:dyDescent="0.2">
      <c r="I160" s="3"/>
    </row>
    <row r="161" spans="9:9" x14ac:dyDescent="0.2">
      <c r="I161" s="3"/>
    </row>
    <row r="162" spans="9:9" x14ac:dyDescent="0.2">
      <c r="I162" s="3"/>
    </row>
    <row r="163" spans="9:9" x14ac:dyDescent="0.2">
      <c r="I163" s="3"/>
    </row>
    <row r="164" spans="9:9" x14ac:dyDescent="0.2">
      <c r="I164" s="3"/>
    </row>
    <row r="165" spans="9:9" x14ac:dyDescent="0.2">
      <c r="I165" s="3"/>
    </row>
    <row r="166" spans="9:9" x14ac:dyDescent="0.2">
      <c r="I166" s="3"/>
    </row>
    <row r="167" spans="9:9" x14ac:dyDescent="0.2">
      <c r="I167" s="3"/>
    </row>
    <row r="168" spans="9:9" x14ac:dyDescent="0.2">
      <c r="I168" s="3"/>
    </row>
    <row r="169" spans="9:9" x14ac:dyDescent="0.2">
      <c r="I169" s="3"/>
    </row>
    <row r="170" spans="9:9" x14ac:dyDescent="0.2">
      <c r="I170" s="3"/>
    </row>
    <row r="171" spans="9:9" x14ac:dyDescent="0.2">
      <c r="I171" s="3"/>
    </row>
    <row r="172" spans="9:9" x14ac:dyDescent="0.2">
      <c r="I172" s="3"/>
    </row>
    <row r="173" spans="9:9" x14ac:dyDescent="0.2">
      <c r="I173" s="3"/>
    </row>
    <row r="174" spans="9:9" x14ac:dyDescent="0.2">
      <c r="I174" s="3"/>
    </row>
    <row r="175" spans="9:9" x14ac:dyDescent="0.2">
      <c r="I175" s="3"/>
    </row>
    <row r="176" spans="9:9" x14ac:dyDescent="0.2">
      <c r="I176" s="3"/>
    </row>
    <row r="177" spans="9:9" x14ac:dyDescent="0.2">
      <c r="I177" s="3"/>
    </row>
    <row r="178" spans="9:9" x14ac:dyDescent="0.2">
      <c r="I178" s="3"/>
    </row>
    <row r="179" spans="9:9" x14ac:dyDescent="0.2">
      <c r="I179" s="3"/>
    </row>
    <row r="180" spans="9:9" x14ac:dyDescent="0.2">
      <c r="I180" s="3"/>
    </row>
    <row r="181" spans="9:9" x14ac:dyDescent="0.2">
      <c r="I181" s="3"/>
    </row>
    <row r="182" spans="9:9" x14ac:dyDescent="0.2">
      <c r="I182" s="3"/>
    </row>
    <row r="183" spans="9:9" x14ac:dyDescent="0.2">
      <c r="I183" s="3"/>
    </row>
    <row r="184" spans="9:9" x14ac:dyDescent="0.2">
      <c r="I184" s="3"/>
    </row>
    <row r="185" spans="9:9" x14ac:dyDescent="0.2">
      <c r="I185" s="3"/>
    </row>
    <row r="186" spans="9:9" x14ac:dyDescent="0.2">
      <c r="I186" s="3"/>
    </row>
    <row r="187" spans="9:9" x14ac:dyDescent="0.2">
      <c r="I187" s="3"/>
    </row>
    <row r="188" spans="9:9" x14ac:dyDescent="0.2">
      <c r="I188" s="3"/>
    </row>
    <row r="189" spans="9:9" x14ac:dyDescent="0.2">
      <c r="I189" s="3"/>
    </row>
    <row r="190" spans="9:9" x14ac:dyDescent="0.2">
      <c r="I190" s="3"/>
    </row>
    <row r="191" spans="9:9" x14ac:dyDescent="0.2">
      <c r="I191" s="3"/>
    </row>
    <row r="192" spans="9:9" x14ac:dyDescent="0.2">
      <c r="I192" s="3"/>
    </row>
    <row r="193" spans="9:9" x14ac:dyDescent="0.2">
      <c r="I193" s="3"/>
    </row>
    <row r="194" spans="9:9" x14ac:dyDescent="0.2">
      <c r="I194" s="3"/>
    </row>
    <row r="195" spans="9:9" x14ac:dyDescent="0.2">
      <c r="I195" s="3"/>
    </row>
    <row r="196" spans="9:9" x14ac:dyDescent="0.2">
      <c r="I196" s="3"/>
    </row>
    <row r="197" spans="9:9" x14ac:dyDescent="0.2">
      <c r="I197" s="3"/>
    </row>
    <row r="198" spans="9:9" x14ac:dyDescent="0.2">
      <c r="I198" s="3"/>
    </row>
    <row r="199" spans="9:9" x14ac:dyDescent="0.2">
      <c r="I199" s="3"/>
    </row>
    <row r="200" spans="9:9" x14ac:dyDescent="0.2">
      <c r="I200" s="3"/>
    </row>
    <row r="201" spans="9:9" x14ac:dyDescent="0.2">
      <c r="I201" s="3"/>
    </row>
    <row r="202" spans="9:9" x14ac:dyDescent="0.2">
      <c r="I202" s="3"/>
    </row>
    <row r="203" spans="9:9" x14ac:dyDescent="0.2">
      <c r="I203" s="3"/>
    </row>
    <row r="204" spans="9:9" x14ac:dyDescent="0.2">
      <c r="I204" s="3"/>
    </row>
    <row r="205" spans="9:9" x14ac:dyDescent="0.2">
      <c r="I205" s="3"/>
    </row>
    <row r="206" spans="9:9" x14ac:dyDescent="0.2">
      <c r="I206" s="3"/>
    </row>
    <row r="207" spans="9:9" x14ac:dyDescent="0.2">
      <c r="I207" s="3"/>
    </row>
    <row r="208" spans="9:9" x14ac:dyDescent="0.2">
      <c r="I208" s="3"/>
    </row>
    <row r="209" spans="9:9" x14ac:dyDescent="0.2">
      <c r="I209" s="3"/>
    </row>
    <row r="210" spans="9:9" x14ac:dyDescent="0.2">
      <c r="I210" s="3"/>
    </row>
    <row r="211" spans="9:9" x14ac:dyDescent="0.2">
      <c r="I211" s="3"/>
    </row>
    <row r="212" spans="9:9" x14ac:dyDescent="0.2">
      <c r="I212" s="3"/>
    </row>
    <row r="213" spans="9:9" x14ac:dyDescent="0.2">
      <c r="I213" s="3"/>
    </row>
    <row r="214" spans="9:9" x14ac:dyDescent="0.2">
      <c r="I214" s="3"/>
    </row>
    <row r="215" spans="9:9" x14ac:dyDescent="0.2">
      <c r="I215" s="3"/>
    </row>
    <row r="216" spans="9:9" x14ac:dyDescent="0.2">
      <c r="I216" s="3"/>
    </row>
    <row r="217" spans="9:9" x14ac:dyDescent="0.2">
      <c r="I217" s="3"/>
    </row>
    <row r="218" spans="9:9" x14ac:dyDescent="0.2">
      <c r="I218" s="3"/>
    </row>
    <row r="219" spans="9:9" x14ac:dyDescent="0.2">
      <c r="I219" s="3"/>
    </row>
    <row r="220" spans="9:9" x14ac:dyDescent="0.2">
      <c r="I220" s="3"/>
    </row>
    <row r="221" spans="9:9" x14ac:dyDescent="0.2">
      <c r="I221" s="3"/>
    </row>
    <row r="222" spans="9:9" x14ac:dyDescent="0.2">
      <c r="I222" s="3"/>
    </row>
    <row r="223" spans="9:9" x14ac:dyDescent="0.2">
      <c r="I223" s="3"/>
    </row>
    <row r="224" spans="9:9" x14ac:dyDescent="0.2">
      <c r="I224" s="3"/>
    </row>
    <row r="225" spans="9:9" x14ac:dyDescent="0.2">
      <c r="I225" s="3"/>
    </row>
    <row r="226" spans="9:9" x14ac:dyDescent="0.2">
      <c r="I226" s="3"/>
    </row>
    <row r="227" spans="9:9" x14ac:dyDescent="0.2">
      <c r="I227" s="3"/>
    </row>
    <row r="228" spans="9:9" x14ac:dyDescent="0.2">
      <c r="I228" s="3"/>
    </row>
    <row r="229" spans="9:9" x14ac:dyDescent="0.2">
      <c r="I229" s="3"/>
    </row>
    <row r="230" spans="9:9" x14ac:dyDescent="0.2">
      <c r="I230" s="3"/>
    </row>
    <row r="231" spans="9:9" x14ac:dyDescent="0.2">
      <c r="I231" s="3"/>
    </row>
    <row r="232" spans="9:9" x14ac:dyDescent="0.2">
      <c r="I232" s="3"/>
    </row>
    <row r="233" spans="9:9" x14ac:dyDescent="0.2">
      <c r="I233" s="3"/>
    </row>
    <row r="234" spans="9:9" x14ac:dyDescent="0.2">
      <c r="I234" s="3"/>
    </row>
    <row r="235" spans="9:9" x14ac:dyDescent="0.2">
      <c r="I235" s="3"/>
    </row>
    <row r="236" spans="9:9" x14ac:dyDescent="0.2">
      <c r="I236" s="3"/>
    </row>
    <row r="237" spans="9:9" x14ac:dyDescent="0.2">
      <c r="I237" s="3"/>
    </row>
    <row r="238" spans="9:9" x14ac:dyDescent="0.2">
      <c r="I238" s="3"/>
    </row>
    <row r="239" spans="9:9" x14ac:dyDescent="0.2">
      <c r="I239" s="3"/>
    </row>
    <row r="240" spans="9:9" x14ac:dyDescent="0.2">
      <c r="I240" s="3"/>
    </row>
    <row r="241" spans="9:9" x14ac:dyDescent="0.2">
      <c r="I241" s="3"/>
    </row>
    <row r="242" spans="9:9" x14ac:dyDescent="0.2">
      <c r="I242" s="3"/>
    </row>
    <row r="243" spans="9:9" x14ac:dyDescent="0.2">
      <c r="I243" s="3"/>
    </row>
    <row r="244" spans="9:9" x14ac:dyDescent="0.2">
      <c r="I244" s="3"/>
    </row>
    <row r="245" spans="9:9" x14ac:dyDescent="0.2">
      <c r="I245" s="3"/>
    </row>
    <row r="246" spans="9:9" x14ac:dyDescent="0.2">
      <c r="I246" s="3"/>
    </row>
    <row r="247" spans="9:9" x14ac:dyDescent="0.2">
      <c r="I247" s="3"/>
    </row>
    <row r="248" spans="9:9" x14ac:dyDescent="0.2">
      <c r="I248" s="3"/>
    </row>
    <row r="249" spans="9:9" x14ac:dyDescent="0.2">
      <c r="I249" s="3"/>
    </row>
    <row r="250" spans="9:9" x14ac:dyDescent="0.2">
      <c r="I250" s="3"/>
    </row>
    <row r="251" spans="9:9" x14ac:dyDescent="0.2">
      <c r="I251" s="3"/>
    </row>
    <row r="252" spans="9:9" x14ac:dyDescent="0.2">
      <c r="I252" s="3"/>
    </row>
    <row r="253" spans="9:9" x14ac:dyDescent="0.2">
      <c r="I253" s="3"/>
    </row>
    <row r="254" spans="9:9" x14ac:dyDescent="0.2">
      <c r="I254" s="3"/>
    </row>
    <row r="255" spans="9:9" x14ac:dyDescent="0.2">
      <c r="I255" s="3"/>
    </row>
    <row r="256" spans="9:9" x14ac:dyDescent="0.2">
      <c r="I256" s="3"/>
    </row>
    <row r="257" spans="9:9" x14ac:dyDescent="0.2">
      <c r="I257" s="3"/>
    </row>
    <row r="258" spans="9:9" x14ac:dyDescent="0.2">
      <c r="I258" s="3"/>
    </row>
    <row r="259" spans="9:9" x14ac:dyDescent="0.2">
      <c r="I259" s="3"/>
    </row>
    <row r="260" spans="9:9" x14ac:dyDescent="0.2">
      <c r="I260" s="3"/>
    </row>
    <row r="261" spans="9:9" x14ac:dyDescent="0.2">
      <c r="I261" s="3"/>
    </row>
    <row r="262" spans="9:9" x14ac:dyDescent="0.2">
      <c r="I262" s="3"/>
    </row>
    <row r="263" spans="9:9" x14ac:dyDescent="0.2">
      <c r="I263" s="3"/>
    </row>
    <row r="264" spans="9:9" x14ac:dyDescent="0.2">
      <c r="I264" s="3"/>
    </row>
    <row r="265" spans="9:9" x14ac:dyDescent="0.2">
      <c r="I265" s="3"/>
    </row>
    <row r="266" spans="9:9" x14ac:dyDescent="0.2">
      <c r="I266" s="3"/>
    </row>
    <row r="267" spans="9:9" x14ac:dyDescent="0.2">
      <c r="I267" s="3"/>
    </row>
    <row r="268" spans="9:9" x14ac:dyDescent="0.2">
      <c r="I268" s="3"/>
    </row>
    <row r="269" spans="9:9" x14ac:dyDescent="0.2">
      <c r="I269" s="3"/>
    </row>
    <row r="270" spans="9:9" x14ac:dyDescent="0.2">
      <c r="I270" s="3"/>
    </row>
    <row r="271" spans="9:9" x14ac:dyDescent="0.2">
      <c r="I271" s="3"/>
    </row>
    <row r="272" spans="9:9" x14ac:dyDescent="0.2">
      <c r="I272" s="3"/>
    </row>
    <row r="273" spans="9:9" x14ac:dyDescent="0.2">
      <c r="I273" s="3"/>
    </row>
    <row r="274" spans="9:9" x14ac:dyDescent="0.2">
      <c r="I274" s="3"/>
    </row>
    <row r="275" spans="9:9" x14ac:dyDescent="0.2">
      <c r="I275" s="3"/>
    </row>
    <row r="276" spans="9:9" x14ac:dyDescent="0.2">
      <c r="I276" s="3"/>
    </row>
    <row r="277" spans="9:9" x14ac:dyDescent="0.2">
      <c r="I277" s="3"/>
    </row>
    <row r="278" spans="9:9" x14ac:dyDescent="0.2">
      <c r="I278" s="3"/>
    </row>
    <row r="279" spans="9:9" x14ac:dyDescent="0.2">
      <c r="I279" s="3"/>
    </row>
    <row r="280" spans="9:9" x14ac:dyDescent="0.2">
      <c r="I280" s="3"/>
    </row>
    <row r="281" spans="9:9" x14ac:dyDescent="0.2">
      <c r="I281" s="3"/>
    </row>
    <row r="282" spans="9:9" x14ac:dyDescent="0.2">
      <c r="I282" s="3"/>
    </row>
    <row r="283" spans="9:9" x14ac:dyDescent="0.2">
      <c r="I283" s="3"/>
    </row>
    <row r="284" spans="9:9" x14ac:dyDescent="0.2">
      <c r="I284" s="3"/>
    </row>
    <row r="285" spans="9:9" x14ac:dyDescent="0.2">
      <c r="I285" s="3"/>
    </row>
    <row r="286" spans="9:9" x14ac:dyDescent="0.2">
      <c r="I286" s="3"/>
    </row>
    <row r="287" spans="9:9" x14ac:dyDescent="0.2">
      <c r="I287" s="3"/>
    </row>
    <row r="288" spans="9:9" x14ac:dyDescent="0.2">
      <c r="I288" s="3"/>
    </row>
    <row r="289" spans="9:9" x14ac:dyDescent="0.2">
      <c r="I289" s="3"/>
    </row>
    <row r="290" spans="9:9" x14ac:dyDescent="0.2">
      <c r="I290" s="3"/>
    </row>
    <row r="291" spans="9:9" x14ac:dyDescent="0.2">
      <c r="I291" s="3"/>
    </row>
    <row r="292" spans="9:9" x14ac:dyDescent="0.2">
      <c r="I292" s="3"/>
    </row>
    <row r="293" spans="9:9" x14ac:dyDescent="0.2">
      <c r="I293" s="3"/>
    </row>
    <row r="294" spans="9:9" x14ac:dyDescent="0.2">
      <c r="I294" s="3"/>
    </row>
    <row r="295" spans="9:9" x14ac:dyDescent="0.2">
      <c r="I295" s="3"/>
    </row>
    <row r="296" spans="9:9" x14ac:dyDescent="0.2">
      <c r="I296" s="3"/>
    </row>
    <row r="297" spans="9:9" x14ac:dyDescent="0.2">
      <c r="I297" s="3"/>
    </row>
    <row r="298" spans="9:9" x14ac:dyDescent="0.2">
      <c r="I298" s="3"/>
    </row>
    <row r="299" spans="9:9" x14ac:dyDescent="0.2">
      <c r="I299" s="3"/>
    </row>
    <row r="300" spans="9:9" x14ac:dyDescent="0.2">
      <c r="I300" s="3"/>
    </row>
    <row r="301" spans="9:9" x14ac:dyDescent="0.2">
      <c r="I301" s="3"/>
    </row>
    <row r="302" spans="9:9" x14ac:dyDescent="0.2">
      <c r="I302" s="3"/>
    </row>
    <row r="303" spans="9:9" x14ac:dyDescent="0.2">
      <c r="I303" s="3"/>
    </row>
    <row r="304" spans="9:9" x14ac:dyDescent="0.2">
      <c r="I304" s="3"/>
    </row>
    <row r="305" spans="9:9" x14ac:dyDescent="0.2">
      <c r="I305" s="3"/>
    </row>
    <row r="306" spans="9:9" x14ac:dyDescent="0.2">
      <c r="I306" s="3"/>
    </row>
    <row r="307" spans="9:9" x14ac:dyDescent="0.2">
      <c r="I307" s="3"/>
    </row>
    <row r="308" spans="9:9" x14ac:dyDescent="0.2">
      <c r="I308" s="3"/>
    </row>
    <row r="309" spans="9:9" x14ac:dyDescent="0.2">
      <c r="I309" s="3"/>
    </row>
    <row r="310" spans="9:9" x14ac:dyDescent="0.2">
      <c r="I310" s="3"/>
    </row>
    <row r="311" spans="9:9" x14ac:dyDescent="0.2">
      <c r="I311" s="3"/>
    </row>
    <row r="312" spans="9:9" x14ac:dyDescent="0.2">
      <c r="I312" s="3"/>
    </row>
    <row r="313" spans="9:9" x14ac:dyDescent="0.2">
      <c r="I313" s="3"/>
    </row>
    <row r="314" spans="9:9" x14ac:dyDescent="0.2">
      <c r="I314" s="3"/>
    </row>
    <row r="315" spans="9:9" x14ac:dyDescent="0.2">
      <c r="I315" s="3"/>
    </row>
    <row r="316" spans="9:9" x14ac:dyDescent="0.2">
      <c r="I316" s="3"/>
    </row>
    <row r="317" spans="9:9" x14ac:dyDescent="0.2">
      <c r="I317" s="3"/>
    </row>
    <row r="318" spans="9:9" x14ac:dyDescent="0.2">
      <c r="I318" s="3"/>
    </row>
    <row r="319" spans="9:9" x14ac:dyDescent="0.2">
      <c r="I319" s="3"/>
    </row>
    <row r="320" spans="9:9" x14ac:dyDescent="0.2">
      <c r="I320" s="3"/>
    </row>
    <row r="321" spans="9:9" x14ac:dyDescent="0.2">
      <c r="I321" s="3"/>
    </row>
    <row r="322" spans="9:9" x14ac:dyDescent="0.2">
      <c r="I322" s="3"/>
    </row>
    <row r="323" spans="9:9" x14ac:dyDescent="0.2">
      <c r="I323" s="3"/>
    </row>
    <row r="324" spans="9:9" x14ac:dyDescent="0.2">
      <c r="I324" s="3"/>
    </row>
    <row r="325" spans="9:9" x14ac:dyDescent="0.2">
      <c r="I325" s="3"/>
    </row>
    <row r="326" spans="9:9" x14ac:dyDescent="0.2">
      <c r="I326" s="3"/>
    </row>
    <row r="327" spans="9:9" x14ac:dyDescent="0.2">
      <c r="I327" s="3"/>
    </row>
    <row r="328" spans="9:9" x14ac:dyDescent="0.2">
      <c r="I328" s="3"/>
    </row>
    <row r="329" spans="9:9" x14ac:dyDescent="0.2">
      <c r="I329" s="3"/>
    </row>
    <row r="330" spans="9:9" x14ac:dyDescent="0.2">
      <c r="I330" s="3"/>
    </row>
    <row r="331" spans="9:9" x14ac:dyDescent="0.2">
      <c r="I331" s="3"/>
    </row>
    <row r="332" spans="9:9" x14ac:dyDescent="0.2">
      <c r="I332" s="3"/>
    </row>
    <row r="333" spans="9:9" x14ac:dyDescent="0.2">
      <c r="I333" s="3"/>
    </row>
    <row r="334" spans="9:9" x14ac:dyDescent="0.2">
      <c r="I334" s="3"/>
    </row>
    <row r="335" spans="9:9" x14ac:dyDescent="0.2">
      <c r="I335" s="3"/>
    </row>
    <row r="336" spans="9:9" x14ac:dyDescent="0.2">
      <c r="I336" s="3"/>
    </row>
    <row r="337" spans="9:9" x14ac:dyDescent="0.2">
      <c r="I337" s="3"/>
    </row>
    <row r="338" spans="9:9" x14ac:dyDescent="0.2">
      <c r="I338" s="3"/>
    </row>
    <row r="339" spans="9:9" x14ac:dyDescent="0.2">
      <c r="I339" s="3"/>
    </row>
    <row r="340" spans="9:9" x14ac:dyDescent="0.2">
      <c r="I340" s="3"/>
    </row>
    <row r="341" spans="9:9" x14ac:dyDescent="0.2">
      <c r="I341" s="3"/>
    </row>
    <row r="342" spans="9:9" x14ac:dyDescent="0.2">
      <c r="I342" s="3"/>
    </row>
    <row r="343" spans="9:9" x14ac:dyDescent="0.2">
      <c r="I343" s="3"/>
    </row>
    <row r="344" spans="9:9" x14ac:dyDescent="0.2">
      <c r="I344" s="3"/>
    </row>
    <row r="345" spans="9:9" x14ac:dyDescent="0.2">
      <c r="I345" s="3"/>
    </row>
    <row r="346" spans="9:9" x14ac:dyDescent="0.2">
      <c r="I346" s="3"/>
    </row>
    <row r="347" spans="9:9" x14ac:dyDescent="0.2">
      <c r="I347" s="3"/>
    </row>
    <row r="348" spans="9:9" x14ac:dyDescent="0.2">
      <c r="I348" s="3"/>
    </row>
    <row r="349" spans="9:9" x14ac:dyDescent="0.2">
      <c r="I349" s="3"/>
    </row>
    <row r="350" spans="9:9" x14ac:dyDescent="0.2">
      <c r="I350" s="3"/>
    </row>
    <row r="351" spans="9:9" x14ac:dyDescent="0.2">
      <c r="I351" s="3"/>
    </row>
    <row r="352" spans="9:9" x14ac:dyDescent="0.2">
      <c r="I352" s="3"/>
    </row>
    <row r="353" spans="9:9" x14ac:dyDescent="0.2">
      <c r="I353" s="3"/>
    </row>
    <row r="354" spans="9:9" x14ac:dyDescent="0.2">
      <c r="I354" s="3"/>
    </row>
    <row r="355" spans="9:9" x14ac:dyDescent="0.2">
      <c r="I355" s="3"/>
    </row>
    <row r="356" spans="9:9" x14ac:dyDescent="0.2">
      <c r="I356" s="3"/>
    </row>
    <row r="357" spans="9:9" x14ac:dyDescent="0.2">
      <c r="I357" s="3"/>
    </row>
    <row r="358" spans="9:9" x14ac:dyDescent="0.2">
      <c r="I358" s="3"/>
    </row>
    <row r="359" spans="9:9" x14ac:dyDescent="0.2">
      <c r="I359" s="3"/>
    </row>
    <row r="360" spans="9:9" x14ac:dyDescent="0.2">
      <c r="I360" s="3"/>
    </row>
    <row r="361" spans="9:9" x14ac:dyDescent="0.2">
      <c r="I361" s="3"/>
    </row>
    <row r="362" spans="9:9" x14ac:dyDescent="0.2">
      <c r="I362" s="3"/>
    </row>
    <row r="363" spans="9:9" x14ac:dyDescent="0.2">
      <c r="I363" s="3"/>
    </row>
    <row r="364" spans="9:9" x14ac:dyDescent="0.2">
      <c r="I364" s="3"/>
    </row>
    <row r="365" spans="9:9" x14ac:dyDescent="0.2">
      <c r="I365" s="3"/>
    </row>
    <row r="366" spans="9:9" x14ac:dyDescent="0.2">
      <c r="I366" s="3"/>
    </row>
    <row r="367" spans="9:9" x14ac:dyDescent="0.2">
      <c r="I367" s="3"/>
    </row>
    <row r="368" spans="9:9" x14ac:dyDescent="0.2">
      <c r="I368" s="3"/>
    </row>
    <row r="369" spans="9:9" x14ac:dyDescent="0.2">
      <c r="I369" s="3"/>
    </row>
    <row r="370" spans="9:9" x14ac:dyDescent="0.2">
      <c r="I370" s="3"/>
    </row>
    <row r="371" spans="9:9" x14ac:dyDescent="0.2">
      <c r="I371" s="3"/>
    </row>
    <row r="372" spans="9:9" x14ac:dyDescent="0.2">
      <c r="I372" s="3"/>
    </row>
    <row r="373" spans="9:9" x14ac:dyDescent="0.2">
      <c r="I373" s="3"/>
    </row>
    <row r="374" spans="9:9" x14ac:dyDescent="0.2">
      <c r="I374" s="3"/>
    </row>
    <row r="375" spans="9:9" x14ac:dyDescent="0.2">
      <c r="I375" s="3"/>
    </row>
    <row r="376" spans="9:9" x14ac:dyDescent="0.2">
      <c r="I376" s="3"/>
    </row>
    <row r="377" spans="9:9" x14ac:dyDescent="0.2">
      <c r="I377" s="3"/>
    </row>
    <row r="378" spans="9:9" x14ac:dyDescent="0.2">
      <c r="I378" s="3"/>
    </row>
    <row r="379" spans="9:9" x14ac:dyDescent="0.2">
      <c r="I379" s="3"/>
    </row>
    <row r="380" spans="9:9" x14ac:dyDescent="0.2">
      <c r="I380" s="3"/>
    </row>
    <row r="381" spans="9:9" x14ac:dyDescent="0.2">
      <c r="I381" s="3"/>
    </row>
    <row r="382" spans="9:9" x14ac:dyDescent="0.2">
      <c r="I382" s="3"/>
    </row>
    <row r="383" spans="9:9" x14ac:dyDescent="0.2">
      <c r="I383" s="3"/>
    </row>
    <row r="384" spans="9:9" x14ac:dyDescent="0.2">
      <c r="I384" s="3"/>
    </row>
    <row r="385" spans="9:9" x14ac:dyDescent="0.2">
      <c r="I385" s="3"/>
    </row>
    <row r="386" spans="9:9" x14ac:dyDescent="0.2">
      <c r="I386" s="3"/>
    </row>
    <row r="387" spans="9:9" x14ac:dyDescent="0.2">
      <c r="I387" s="3"/>
    </row>
    <row r="388" spans="9:9" x14ac:dyDescent="0.2">
      <c r="I388" s="3"/>
    </row>
    <row r="389" spans="9:9" x14ac:dyDescent="0.2">
      <c r="I389" s="3"/>
    </row>
    <row r="390" spans="9:9" x14ac:dyDescent="0.2">
      <c r="I390" s="3"/>
    </row>
    <row r="391" spans="9:9" x14ac:dyDescent="0.2">
      <c r="I391" s="3"/>
    </row>
    <row r="392" spans="9:9" x14ac:dyDescent="0.2">
      <c r="I392" s="3"/>
    </row>
    <row r="393" spans="9:9" x14ac:dyDescent="0.2">
      <c r="I393" s="3"/>
    </row>
    <row r="394" spans="9:9" x14ac:dyDescent="0.2">
      <c r="I394" s="3"/>
    </row>
    <row r="395" spans="9:9" x14ac:dyDescent="0.2">
      <c r="I395" s="3"/>
    </row>
    <row r="396" spans="9:9" x14ac:dyDescent="0.2">
      <c r="I396" s="3"/>
    </row>
    <row r="397" spans="9:9" x14ac:dyDescent="0.2">
      <c r="I397" s="3"/>
    </row>
    <row r="398" spans="9:9" x14ac:dyDescent="0.2">
      <c r="I398" s="3"/>
    </row>
    <row r="399" spans="9:9" x14ac:dyDescent="0.2">
      <c r="I399" s="3"/>
    </row>
    <row r="400" spans="9:9" x14ac:dyDescent="0.2">
      <c r="I400" s="3"/>
    </row>
    <row r="401" spans="9:9" x14ac:dyDescent="0.2">
      <c r="I401" s="3"/>
    </row>
    <row r="402" spans="9:9" x14ac:dyDescent="0.2">
      <c r="I402" s="3"/>
    </row>
    <row r="403" spans="9:9" x14ac:dyDescent="0.2">
      <c r="I403" s="3"/>
    </row>
    <row r="404" spans="9:9" x14ac:dyDescent="0.2">
      <c r="I404" s="3"/>
    </row>
    <row r="405" spans="9:9" x14ac:dyDescent="0.2">
      <c r="I405" s="3"/>
    </row>
    <row r="406" spans="9:9" x14ac:dyDescent="0.2">
      <c r="I406" s="3"/>
    </row>
    <row r="407" spans="9:9" x14ac:dyDescent="0.2">
      <c r="I407" s="3"/>
    </row>
    <row r="408" spans="9:9" x14ac:dyDescent="0.2">
      <c r="I408" s="3"/>
    </row>
    <row r="409" spans="9:9" x14ac:dyDescent="0.2">
      <c r="I409" s="3"/>
    </row>
    <row r="410" spans="9:9" x14ac:dyDescent="0.2">
      <c r="I410" s="3"/>
    </row>
    <row r="411" spans="9:9" x14ac:dyDescent="0.2">
      <c r="I411" s="3"/>
    </row>
    <row r="412" spans="9:9" x14ac:dyDescent="0.2">
      <c r="I412" s="3"/>
    </row>
    <row r="413" spans="9:9" x14ac:dyDescent="0.2">
      <c r="I413" s="3"/>
    </row>
    <row r="414" spans="9:9" x14ac:dyDescent="0.2">
      <c r="I414" s="3"/>
    </row>
    <row r="415" spans="9:9" x14ac:dyDescent="0.2">
      <c r="I415" s="3"/>
    </row>
    <row r="416" spans="9:9" x14ac:dyDescent="0.2">
      <c r="I416" s="3"/>
    </row>
    <row r="417" spans="9:9" x14ac:dyDescent="0.2">
      <c r="I417" s="3"/>
    </row>
    <row r="418" spans="9:9" x14ac:dyDescent="0.2">
      <c r="I418" s="3"/>
    </row>
    <row r="419" spans="9:9" x14ac:dyDescent="0.2">
      <c r="I419" s="3"/>
    </row>
    <row r="420" spans="9:9" x14ac:dyDescent="0.2">
      <c r="I420" s="3"/>
    </row>
    <row r="421" spans="9:9" x14ac:dyDescent="0.2">
      <c r="I421" s="3"/>
    </row>
    <row r="422" spans="9:9" x14ac:dyDescent="0.2">
      <c r="I422" s="3"/>
    </row>
    <row r="423" spans="9:9" x14ac:dyDescent="0.2">
      <c r="I423" s="3"/>
    </row>
    <row r="424" spans="9:9" x14ac:dyDescent="0.2">
      <c r="I424" s="3"/>
    </row>
    <row r="425" spans="9:9" x14ac:dyDescent="0.2">
      <c r="I425" s="3"/>
    </row>
    <row r="426" spans="9:9" x14ac:dyDescent="0.2">
      <c r="I426" s="3"/>
    </row>
    <row r="427" spans="9:9" x14ac:dyDescent="0.2">
      <c r="I427" s="3"/>
    </row>
    <row r="428" spans="9:9" x14ac:dyDescent="0.2">
      <c r="I428" s="3"/>
    </row>
    <row r="429" spans="9:9" x14ac:dyDescent="0.2">
      <c r="I429" s="3"/>
    </row>
    <row r="430" spans="9:9" x14ac:dyDescent="0.2">
      <c r="I430" s="3"/>
    </row>
    <row r="431" spans="9:9" x14ac:dyDescent="0.2">
      <c r="I431" s="3"/>
    </row>
    <row r="432" spans="9:9" x14ac:dyDescent="0.2">
      <c r="I432" s="3"/>
    </row>
    <row r="433" spans="9:9" x14ac:dyDescent="0.2">
      <c r="I433" s="3"/>
    </row>
    <row r="434" spans="9:9" x14ac:dyDescent="0.2">
      <c r="I434" s="3"/>
    </row>
    <row r="435" spans="9:9" x14ac:dyDescent="0.2">
      <c r="I435" s="3"/>
    </row>
    <row r="436" spans="9:9" x14ac:dyDescent="0.2">
      <c r="I436" s="3"/>
    </row>
    <row r="437" spans="9:9" x14ac:dyDescent="0.2">
      <c r="I437" s="3"/>
    </row>
    <row r="438" spans="9:9" x14ac:dyDescent="0.2">
      <c r="I438" s="3"/>
    </row>
    <row r="439" spans="9:9" x14ac:dyDescent="0.2">
      <c r="I439" s="3"/>
    </row>
    <row r="440" spans="9:9" x14ac:dyDescent="0.2">
      <c r="I440" s="3"/>
    </row>
    <row r="441" spans="9:9" x14ac:dyDescent="0.2">
      <c r="I441" s="3"/>
    </row>
    <row r="442" spans="9:9" x14ac:dyDescent="0.2">
      <c r="I442" s="3"/>
    </row>
    <row r="443" spans="9:9" x14ac:dyDescent="0.2">
      <c r="I443" s="3"/>
    </row>
    <row r="444" spans="9:9" x14ac:dyDescent="0.2">
      <c r="I444" s="3"/>
    </row>
    <row r="445" spans="9:9" x14ac:dyDescent="0.2">
      <c r="I445" s="3"/>
    </row>
    <row r="446" spans="9:9" x14ac:dyDescent="0.2">
      <c r="I446" s="3"/>
    </row>
    <row r="447" spans="9:9" x14ac:dyDescent="0.2">
      <c r="I447" s="3"/>
    </row>
    <row r="448" spans="9:9" x14ac:dyDescent="0.2">
      <c r="I448" s="3"/>
    </row>
    <row r="449" spans="9:9" x14ac:dyDescent="0.2">
      <c r="I449" s="3"/>
    </row>
    <row r="450" spans="9:9" x14ac:dyDescent="0.2">
      <c r="I450" s="3"/>
    </row>
    <row r="451" spans="9:9" x14ac:dyDescent="0.2">
      <c r="I451" s="3"/>
    </row>
    <row r="452" spans="9:9" x14ac:dyDescent="0.2">
      <c r="I452" s="3"/>
    </row>
    <row r="453" spans="9:9" x14ac:dyDescent="0.2">
      <c r="I453" s="3"/>
    </row>
    <row r="454" spans="9:9" x14ac:dyDescent="0.2">
      <c r="I454" s="3"/>
    </row>
    <row r="455" spans="9:9" x14ac:dyDescent="0.2">
      <c r="I455" s="3"/>
    </row>
  </sheetData>
  <mergeCells count="120">
    <mergeCell ref="B3:D3"/>
    <mergeCell ref="E3:G3"/>
    <mergeCell ref="J3:Q3"/>
    <mergeCell ref="R3:AA3"/>
    <mergeCell ref="A1:I1"/>
    <mergeCell ref="J1:AA1"/>
    <mergeCell ref="E2:G2"/>
    <mergeCell ref="J2:Q2"/>
    <mergeCell ref="R2:AA2"/>
    <mergeCell ref="B11:E11"/>
    <mergeCell ref="B4:D4"/>
    <mergeCell ref="E4:G4"/>
    <mergeCell ref="J4:Q4"/>
    <mergeCell ref="R4:AA5"/>
    <mergeCell ref="B5:G5"/>
    <mergeCell ref="J5:Q5"/>
    <mergeCell ref="B6:J6"/>
    <mergeCell ref="B8:E8"/>
    <mergeCell ref="B9:E9"/>
    <mergeCell ref="B10:E10"/>
    <mergeCell ref="K6:L7"/>
    <mergeCell ref="M6:N7"/>
    <mergeCell ref="O6:P7"/>
    <mergeCell ref="Q6:R7"/>
    <mergeCell ref="S6:T7"/>
    <mergeCell ref="U6:V7"/>
    <mergeCell ref="W6:X7"/>
    <mergeCell ref="Y6:AA7"/>
    <mergeCell ref="K8:L8"/>
    <mergeCell ref="M8:N8"/>
    <mergeCell ref="O8:P8"/>
    <mergeCell ref="Q8:R8"/>
    <mergeCell ref="S8:T8"/>
    <mergeCell ref="B23:E23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35:E35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47:E47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59:E59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71:E71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A76:E76"/>
    <mergeCell ref="A77:F77"/>
    <mergeCell ref="J77:M77"/>
    <mergeCell ref="N77:Q77"/>
    <mergeCell ref="R77:AA78"/>
    <mergeCell ref="A78:H78"/>
    <mergeCell ref="J78:L78"/>
    <mergeCell ref="M78:Q78"/>
    <mergeCell ref="A72:A73"/>
    <mergeCell ref="B72:E73"/>
    <mergeCell ref="A74:A75"/>
    <mergeCell ref="B74:C74"/>
    <mergeCell ref="D74:E74"/>
    <mergeCell ref="B75:C75"/>
    <mergeCell ref="D75:E75"/>
    <mergeCell ref="U8:V8"/>
    <mergeCell ref="W8:X8"/>
    <mergeCell ref="Y8:AA8"/>
    <mergeCell ref="K14:AA75"/>
    <mergeCell ref="K9:AA9"/>
    <mergeCell ref="K10:L11"/>
    <mergeCell ref="M10:N11"/>
    <mergeCell ref="O10:S11"/>
    <mergeCell ref="T10:AA13"/>
    <mergeCell ref="K12:L13"/>
    <mergeCell ref="M12:N13"/>
    <mergeCell ref="O12:S13"/>
  </mergeCells>
  <hyperlinks>
    <hyperlink ref="J3" r:id="rId1" xr:uid="{4955C87B-1FC6-5C46-8E93-7DE892D147B0}"/>
  </hyperlinks>
  <pageMargins left="0.25" right="0.25" top="0.75" bottom="0.75" header="0.3" footer="0.3"/>
  <pageSetup paperSize="9" scale="77" fitToHeight="0" orientation="landscape" horizontalDpi="360" verticalDpi="36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332F2-703E-9242-A95E-1C6923AF44B7}">
  <sheetPr>
    <pageSetUpPr fitToPage="1"/>
  </sheetPr>
  <dimension ref="A1:BA102"/>
  <sheetViews>
    <sheetView zoomScale="90" zoomScaleNormal="84" workbookViewId="0">
      <pane ySplit="8" topLeftCell="A16" activePane="bottomLeft" state="frozen"/>
      <selection pane="bottomLeft" activeCell="B26" sqref="B26:E26"/>
    </sheetView>
  </sheetViews>
  <sheetFormatPr baseColWidth="10" defaultColWidth="9.1640625" defaultRowHeight="15" x14ac:dyDescent="0.2"/>
  <cols>
    <col min="1" max="1" width="13.1640625" style="2" customWidth="1"/>
    <col min="2" max="3" width="9.1640625" style="2"/>
    <col min="4" max="5" width="9.1640625" style="2" customWidth="1"/>
    <col min="6" max="7" width="6.5" style="2" customWidth="1"/>
    <col min="8" max="8" width="11.1640625" style="2" customWidth="1"/>
    <col min="9" max="9" width="12" style="2" customWidth="1"/>
    <col min="10" max="10" width="5.6640625" style="2" customWidth="1"/>
    <col min="11" max="50" width="4.83203125" style="2" customWidth="1"/>
    <col min="51" max="53" width="9.1640625" style="2"/>
  </cols>
  <sheetData>
    <row r="1" spans="1:53" ht="39" customHeight="1" x14ac:dyDescent="0.2">
      <c r="A1" s="203" t="s">
        <v>48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  <c r="AR1" s="204"/>
      <c r="AS1" s="204"/>
      <c r="AT1" s="204"/>
      <c r="AU1" s="204"/>
      <c r="AV1" s="204"/>
      <c r="AW1" s="204"/>
      <c r="AX1" s="204"/>
    </row>
    <row r="2" spans="1:53" ht="15" customHeight="1" x14ac:dyDescent="0.2">
      <c r="A2" s="17" t="s">
        <v>12</v>
      </c>
      <c r="B2" s="18"/>
      <c r="C2" s="17"/>
      <c r="D2" s="19"/>
      <c r="E2" s="81" t="s">
        <v>7</v>
      </c>
      <c r="F2" s="82"/>
      <c r="G2" s="83"/>
      <c r="H2" s="31" t="s">
        <v>66</v>
      </c>
      <c r="I2" s="211">
        <f>'ALS 10 BAZAR'!I2</f>
        <v>46213</v>
      </c>
      <c r="J2" s="211"/>
      <c r="K2" s="212"/>
      <c r="L2" s="212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</row>
    <row r="3" spans="1:53" ht="15" customHeight="1" x14ac:dyDescent="0.2">
      <c r="A3" s="13" t="s">
        <v>4</v>
      </c>
      <c r="B3" s="84" t="str">
        <f>'ALS 10 BAZAR'!B3:D3</f>
        <v>VR VAROES</v>
      </c>
      <c r="C3" s="85"/>
      <c r="D3" s="86"/>
      <c r="E3" s="84"/>
      <c r="F3" s="85"/>
      <c r="G3" s="86"/>
      <c r="H3" s="45" t="s">
        <v>67</v>
      </c>
      <c r="I3" s="211" t="str">
        <f>'ALS 10 BAZAR'!I3</f>
        <v>IMEDIATO</v>
      </c>
      <c r="J3" s="211"/>
      <c r="K3" s="212"/>
      <c r="L3" s="212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147"/>
      <c r="AO3" s="147"/>
      <c r="AP3" s="147"/>
      <c r="AQ3" s="147"/>
      <c r="AR3" s="147"/>
      <c r="AS3" s="147"/>
      <c r="AT3" s="147"/>
      <c r="AU3" s="147"/>
      <c r="AV3" s="147"/>
      <c r="AW3" s="147"/>
      <c r="AX3" s="147"/>
    </row>
    <row r="4" spans="1:53" ht="15" customHeight="1" x14ac:dyDescent="0.2">
      <c r="A4" s="13" t="s">
        <v>2</v>
      </c>
      <c r="B4" s="84" t="str">
        <f>'ALS 10 BAZAR'!B4:D4</f>
        <v>RODRIGO</v>
      </c>
      <c r="C4" s="85"/>
      <c r="D4" s="86"/>
      <c r="E4" s="84"/>
      <c r="F4" s="85"/>
      <c r="G4" s="86"/>
      <c r="H4" s="32" t="s">
        <v>11</v>
      </c>
      <c r="I4" s="209">
        <f>'ALS 10 BAZAR'!I4</f>
        <v>1</v>
      </c>
      <c r="J4" s="209"/>
      <c r="K4" s="212"/>
      <c r="L4" s="212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147"/>
      <c r="AO4" s="147"/>
      <c r="AP4" s="147"/>
      <c r="AQ4" s="147"/>
      <c r="AR4" s="147"/>
      <c r="AS4" s="147"/>
      <c r="AT4" s="147"/>
      <c r="AU4" s="147"/>
      <c r="AV4" s="147"/>
      <c r="AW4" s="147"/>
      <c r="AX4" s="147"/>
    </row>
    <row r="5" spans="1:53" ht="15" customHeight="1" x14ac:dyDescent="0.2">
      <c r="A5" s="13" t="s">
        <v>5</v>
      </c>
      <c r="B5" s="84" t="str">
        <f>'ALS 10 BAZAR'!B5:G5</f>
        <v>BOLETO 30/45/60/75/90/105</v>
      </c>
      <c r="C5" s="85"/>
      <c r="D5" s="85"/>
      <c r="E5" s="85"/>
      <c r="F5" s="85"/>
      <c r="G5" s="86"/>
      <c r="H5" s="33" t="s">
        <v>68</v>
      </c>
      <c r="I5" s="209">
        <f>'ALS 10 BAZAR'!I5</f>
        <v>0</v>
      </c>
      <c r="J5" s="209"/>
      <c r="K5" s="210"/>
      <c r="L5" s="210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</row>
    <row r="6" spans="1:53" ht="15" customHeight="1" x14ac:dyDescent="0.2">
      <c r="A6" s="13" t="s">
        <v>6</v>
      </c>
      <c r="B6" s="213"/>
      <c r="C6" s="213"/>
      <c r="D6" s="213"/>
      <c r="E6" s="213"/>
      <c r="F6" s="213"/>
      <c r="G6" s="213"/>
      <c r="H6" s="213"/>
      <c r="I6" s="40"/>
      <c r="J6" s="40"/>
      <c r="K6" s="191" t="s">
        <v>71</v>
      </c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2" t="s">
        <v>72</v>
      </c>
      <c r="AB6" s="193"/>
      <c r="AC6" s="193"/>
      <c r="AD6" s="193"/>
      <c r="AE6" s="193"/>
      <c r="AF6" s="193"/>
      <c r="AG6" s="193"/>
      <c r="AH6" s="193"/>
      <c r="AI6" s="193"/>
      <c r="AJ6" s="193"/>
      <c r="AK6" s="193"/>
      <c r="AL6" s="193"/>
      <c r="AM6" s="193"/>
      <c r="AN6" s="193"/>
      <c r="AO6" s="193"/>
      <c r="AP6" s="194"/>
      <c r="AQ6" s="198" t="s">
        <v>73</v>
      </c>
      <c r="AR6" s="198"/>
      <c r="AS6" s="198"/>
      <c r="AT6" s="198"/>
      <c r="AU6" s="198"/>
      <c r="AV6" s="198"/>
      <c r="AW6" s="198"/>
      <c r="AX6" s="198"/>
    </row>
    <row r="7" spans="1:53" s="2" customFormat="1" ht="15" customHeight="1" x14ac:dyDescent="0.2">
      <c r="A7" s="13" t="s">
        <v>24</v>
      </c>
      <c r="B7" s="20" t="s">
        <v>19</v>
      </c>
      <c r="C7" s="21" t="str">
        <f>'ALS 10 BAZAR'!C7</f>
        <v>CIF</v>
      </c>
      <c r="D7" s="20" t="s">
        <v>25</v>
      </c>
      <c r="E7" s="22" t="str">
        <f>'ALS 10 BAZAR'!E7</f>
        <v>NÃO</v>
      </c>
      <c r="F7" s="20" t="s">
        <v>26</v>
      </c>
      <c r="G7" s="22" t="str">
        <f>'ALS 10 BAZAR'!G7</f>
        <v>NÃO</v>
      </c>
      <c r="H7" s="20" t="s">
        <v>27</v>
      </c>
      <c r="I7" s="20" t="str">
        <f>'ALS 10 BAZAR'!I7</f>
        <v>SIM</v>
      </c>
      <c r="J7" s="20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5"/>
      <c r="AB7" s="196"/>
      <c r="AC7" s="196"/>
      <c r="AD7" s="196"/>
      <c r="AE7" s="196"/>
      <c r="AF7" s="196"/>
      <c r="AG7" s="196"/>
      <c r="AH7" s="196"/>
      <c r="AI7" s="196"/>
      <c r="AJ7" s="196"/>
      <c r="AK7" s="196"/>
      <c r="AL7" s="196"/>
      <c r="AM7" s="196"/>
      <c r="AN7" s="196"/>
      <c r="AO7" s="196"/>
      <c r="AP7" s="197"/>
      <c r="AQ7" s="198"/>
      <c r="AR7" s="198"/>
      <c r="AS7" s="198"/>
      <c r="AT7" s="198"/>
      <c r="AU7" s="198"/>
      <c r="AV7" s="198"/>
      <c r="AW7" s="198"/>
      <c r="AX7" s="198"/>
    </row>
    <row r="8" spans="1:53" ht="36" customHeight="1" x14ac:dyDescent="0.2">
      <c r="A8" s="14" t="s">
        <v>20</v>
      </c>
      <c r="B8" s="87" t="s">
        <v>15</v>
      </c>
      <c r="C8" s="88"/>
      <c r="D8" s="88"/>
      <c r="E8" s="89"/>
      <c r="F8" s="25" t="s">
        <v>0</v>
      </c>
      <c r="G8" s="25" t="s">
        <v>1</v>
      </c>
      <c r="H8" s="25" t="s">
        <v>13</v>
      </c>
      <c r="I8" s="25" t="s">
        <v>49</v>
      </c>
      <c r="J8" s="46" t="s">
        <v>50</v>
      </c>
      <c r="K8" s="175" t="s">
        <v>79</v>
      </c>
      <c r="L8" s="176"/>
      <c r="M8" s="175" t="s">
        <v>33</v>
      </c>
      <c r="N8" s="176"/>
      <c r="O8" s="175" t="s">
        <v>32</v>
      </c>
      <c r="P8" s="176"/>
      <c r="Q8" s="175" t="s">
        <v>69</v>
      </c>
      <c r="R8" s="176"/>
      <c r="S8" s="175" t="s">
        <v>28</v>
      </c>
      <c r="T8" s="176"/>
      <c r="U8" s="175" t="s">
        <v>18</v>
      </c>
      <c r="V8" s="176"/>
      <c r="W8" s="175" t="s">
        <v>70</v>
      </c>
      <c r="X8" s="176"/>
      <c r="Y8" s="175" t="s">
        <v>51</v>
      </c>
      <c r="Z8" s="176"/>
      <c r="AA8" s="175" t="s">
        <v>16</v>
      </c>
      <c r="AB8" s="176"/>
      <c r="AC8" s="175" t="s">
        <v>17</v>
      </c>
      <c r="AD8" s="176"/>
      <c r="AE8" s="175" t="s">
        <v>62</v>
      </c>
      <c r="AF8" s="176"/>
      <c r="AG8" s="175" t="s">
        <v>63</v>
      </c>
      <c r="AH8" s="176"/>
      <c r="AI8" s="185" t="s">
        <v>78</v>
      </c>
      <c r="AJ8" s="186"/>
      <c r="AK8" s="175" t="s">
        <v>34</v>
      </c>
      <c r="AL8" s="176"/>
      <c r="AM8" s="205" t="s">
        <v>45</v>
      </c>
      <c r="AN8" s="206"/>
      <c r="AO8" s="205" t="s">
        <v>65</v>
      </c>
      <c r="AP8" s="206"/>
      <c r="AQ8" s="185" t="s">
        <v>64</v>
      </c>
      <c r="AR8" s="186"/>
      <c r="AS8" s="185" t="s">
        <v>74</v>
      </c>
      <c r="AT8" s="186"/>
      <c r="AU8" s="201" t="s">
        <v>47</v>
      </c>
      <c r="AV8" s="202"/>
      <c r="AW8" s="201" t="s">
        <v>61</v>
      </c>
      <c r="AX8" s="202"/>
      <c r="AY8" s="23"/>
      <c r="AZ8" s="23"/>
      <c r="BA8" s="23"/>
    </row>
    <row r="9" spans="1:53" s="44" customFormat="1" ht="22" customHeight="1" x14ac:dyDescent="0.2">
      <c r="A9" s="41">
        <f>'ALS 10 BAZAR'!A9</f>
        <v>0</v>
      </c>
      <c r="B9" s="78" t="str">
        <f>'ALS 10 BAZAR'!B9:E9</f>
        <v>TOALHA EM METRO</v>
      </c>
      <c r="C9" s="79"/>
      <c r="D9" s="79"/>
      <c r="E9" s="80"/>
      <c r="F9" s="42">
        <f>'ALS 10 BAZAR'!F9</f>
        <v>30</v>
      </c>
      <c r="G9" s="43">
        <f>'ALS 10 BAZAR'!G9</f>
        <v>0</v>
      </c>
      <c r="H9" s="39">
        <f t="shared" ref="H9:H12" si="0">F9*G9</f>
        <v>0</v>
      </c>
      <c r="I9" s="39"/>
      <c r="J9" s="47"/>
      <c r="K9" s="189">
        <v>10</v>
      </c>
      <c r="L9" s="190"/>
      <c r="M9" s="78"/>
      <c r="N9" s="80"/>
      <c r="O9" s="189"/>
      <c r="P9" s="190"/>
      <c r="Q9" s="78"/>
      <c r="R9" s="80"/>
      <c r="S9" s="189"/>
      <c r="T9" s="190"/>
      <c r="U9" s="78"/>
      <c r="V9" s="80"/>
      <c r="W9" s="189"/>
      <c r="X9" s="190"/>
      <c r="Y9" s="78"/>
      <c r="Z9" s="80"/>
      <c r="AA9" s="189"/>
      <c r="AB9" s="190"/>
      <c r="AC9" s="78"/>
      <c r="AD9" s="80"/>
      <c r="AE9" s="189"/>
      <c r="AF9" s="190"/>
      <c r="AG9" s="78"/>
      <c r="AH9" s="80"/>
      <c r="AI9" s="78"/>
      <c r="AJ9" s="80"/>
      <c r="AK9" s="189"/>
      <c r="AL9" s="190"/>
      <c r="AM9" s="78"/>
      <c r="AN9" s="80"/>
      <c r="AO9" s="189"/>
      <c r="AP9" s="190"/>
      <c r="AQ9" s="78"/>
      <c r="AR9" s="80"/>
      <c r="AS9" s="189"/>
      <c r="AT9" s="190"/>
      <c r="AU9" s="140"/>
      <c r="AV9" s="140"/>
      <c r="AW9" s="200"/>
      <c r="AX9" s="200"/>
      <c r="AY9" s="23"/>
      <c r="AZ9" s="23"/>
      <c r="BA9" s="23"/>
    </row>
    <row r="10" spans="1:53" s="44" customFormat="1" ht="22" customHeight="1" x14ac:dyDescent="0.2">
      <c r="A10" s="41">
        <f>'ALS 10 BAZAR'!A10</f>
        <v>0</v>
      </c>
      <c r="B10" s="78" t="str">
        <f>'ALS 10 BAZAR'!B10:E10</f>
        <v>TOALHA EM METRO TRANSPARENTE</v>
      </c>
      <c r="C10" s="79"/>
      <c r="D10" s="79"/>
      <c r="E10" s="80"/>
      <c r="F10" s="42">
        <f>'ALS 10 BAZAR'!F10</f>
        <v>30</v>
      </c>
      <c r="G10" s="43">
        <f>'ALS 10 BAZAR'!G10</f>
        <v>0</v>
      </c>
      <c r="H10" s="39">
        <f t="shared" si="0"/>
        <v>0</v>
      </c>
      <c r="I10" s="39"/>
      <c r="J10" s="47"/>
      <c r="K10" s="189"/>
      <c r="L10" s="190"/>
      <c r="M10" s="78"/>
      <c r="N10" s="80"/>
      <c r="O10" s="189"/>
      <c r="P10" s="190"/>
      <c r="Q10" s="78"/>
      <c r="R10" s="80"/>
      <c r="S10" s="189"/>
      <c r="T10" s="190"/>
      <c r="U10" s="78"/>
      <c r="V10" s="80"/>
      <c r="W10" s="189"/>
      <c r="X10" s="190"/>
      <c r="Y10" s="78"/>
      <c r="Z10" s="80"/>
      <c r="AA10" s="189"/>
      <c r="AB10" s="190"/>
      <c r="AC10" s="78"/>
      <c r="AD10" s="80"/>
      <c r="AE10" s="189"/>
      <c r="AF10" s="190"/>
      <c r="AG10" s="78"/>
      <c r="AH10" s="80"/>
      <c r="AI10" s="78"/>
      <c r="AJ10" s="80"/>
      <c r="AK10" s="189"/>
      <c r="AL10" s="190"/>
      <c r="AM10" s="78"/>
      <c r="AN10" s="80"/>
      <c r="AO10" s="189"/>
      <c r="AP10" s="190"/>
      <c r="AQ10" s="78"/>
      <c r="AR10" s="80"/>
      <c r="AS10" s="189"/>
      <c r="AT10" s="190"/>
      <c r="AU10" s="140"/>
      <c r="AV10" s="140"/>
      <c r="AW10" s="200"/>
      <c r="AX10" s="200"/>
      <c r="AY10" s="23"/>
      <c r="AZ10" s="23"/>
      <c r="BA10" s="23"/>
    </row>
    <row r="11" spans="1:53" s="44" customFormat="1" ht="22" customHeight="1" x14ac:dyDescent="0.2">
      <c r="A11" s="41">
        <f>'ALS 10 BAZAR'!A11</f>
        <v>0</v>
      </c>
      <c r="B11" s="78" t="str">
        <f>'ALS 10 BAZAR'!B11:E11</f>
        <v>CORTINA BLACK OUT 1,40 X 1,00</v>
      </c>
      <c r="C11" s="79"/>
      <c r="D11" s="79"/>
      <c r="E11" s="80"/>
      <c r="F11" s="42">
        <f>'ALS 10 BAZAR'!F11</f>
        <v>50</v>
      </c>
      <c r="G11" s="43">
        <f>'ALS 10 BAZAR'!G11</f>
        <v>0</v>
      </c>
      <c r="H11" s="39">
        <f t="shared" si="0"/>
        <v>0</v>
      </c>
      <c r="I11" s="39"/>
      <c r="J11" s="47"/>
      <c r="K11" s="189"/>
      <c r="L11" s="190"/>
      <c r="M11" s="78"/>
      <c r="N11" s="80"/>
      <c r="O11" s="189"/>
      <c r="P11" s="190"/>
      <c r="Q11" s="78"/>
      <c r="R11" s="80"/>
      <c r="S11" s="189"/>
      <c r="T11" s="190"/>
      <c r="U11" s="78"/>
      <c r="V11" s="80"/>
      <c r="W11" s="189"/>
      <c r="X11" s="190"/>
      <c r="Y11" s="78"/>
      <c r="Z11" s="80"/>
      <c r="AA11" s="189"/>
      <c r="AB11" s="190"/>
      <c r="AC11" s="78"/>
      <c r="AD11" s="80"/>
      <c r="AE11" s="189"/>
      <c r="AF11" s="190"/>
      <c r="AG11" s="78"/>
      <c r="AH11" s="80"/>
      <c r="AI11" s="78"/>
      <c r="AJ11" s="80"/>
      <c r="AK11" s="189"/>
      <c r="AL11" s="190"/>
      <c r="AM11" s="78"/>
      <c r="AN11" s="80"/>
      <c r="AO11" s="189"/>
      <c r="AP11" s="190"/>
      <c r="AQ11" s="78"/>
      <c r="AR11" s="80"/>
      <c r="AS11" s="189"/>
      <c r="AT11" s="190"/>
      <c r="AU11" s="140"/>
      <c r="AV11" s="140"/>
      <c r="AW11" s="200"/>
      <c r="AX11" s="200"/>
      <c r="AY11" s="23"/>
      <c r="AZ11" s="23"/>
      <c r="BA11" s="23"/>
    </row>
    <row r="12" spans="1:53" s="44" customFormat="1" ht="22" customHeight="1" x14ac:dyDescent="0.2">
      <c r="A12" s="41">
        <f>'ALS 10 BAZAR'!A12</f>
        <v>0</v>
      </c>
      <c r="B12" s="78" t="str">
        <f>'ALS 10 BAZAR'!B12:E12</f>
        <v>CORTINA DE BOX 1,80 X 1,20</v>
      </c>
      <c r="C12" s="79"/>
      <c r="D12" s="79"/>
      <c r="E12" s="80"/>
      <c r="F12" s="42">
        <f>'ALS 10 BAZAR'!F12</f>
        <v>50</v>
      </c>
      <c r="G12" s="43">
        <f>'ALS 10 BAZAR'!G12</f>
        <v>0</v>
      </c>
      <c r="H12" s="39">
        <f t="shared" si="0"/>
        <v>0</v>
      </c>
      <c r="I12" s="39"/>
      <c r="J12" s="47"/>
      <c r="K12" s="189"/>
      <c r="L12" s="190"/>
      <c r="M12" s="78"/>
      <c r="N12" s="80"/>
      <c r="O12" s="189"/>
      <c r="P12" s="190"/>
      <c r="Q12" s="78"/>
      <c r="R12" s="80"/>
      <c r="S12" s="189"/>
      <c r="T12" s="190"/>
      <c r="U12" s="78"/>
      <c r="V12" s="80"/>
      <c r="W12" s="189"/>
      <c r="X12" s="190"/>
      <c r="Y12" s="78"/>
      <c r="Z12" s="80"/>
      <c r="AA12" s="189"/>
      <c r="AB12" s="190"/>
      <c r="AC12" s="78"/>
      <c r="AD12" s="80"/>
      <c r="AE12" s="189"/>
      <c r="AF12" s="190"/>
      <c r="AG12" s="78"/>
      <c r="AH12" s="80"/>
      <c r="AI12" s="78"/>
      <c r="AJ12" s="80"/>
      <c r="AK12" s="189"/>
      <c r="AL12" s="190"/>
      <c r="AM12" s="78"/>
      <c r="AN12" s="80"/>
      <c r="AO12" s="189"/>
      <c r="AP12" s="190"/>
      <c r="AQ12" s="78"/>
      <c r="AR12" s="80"/>
      <c r="AS12" s="189"/>
      <c r="AT12" s="190"/>
      <c r="AU12" s="140"/>
      <c r="AV12" s="140"/>
      <c r="AW12" s="200"/>
      <c r="AX12" s="200"/>
      <c r="AY12" s="23"/>
      <c r="AZ12" s="23"/>
      <c r="BA12" s="23"/>
    </row>
    <row r="13" spans="1:53" s="44" customFormat="1" ht="22" customHeight="1" x14ac:dyDescent="0.2">
      <c r="A13" s="41">
        <f>'ALS 10 BAZAR'!A13</f>
        <v>0</v>
      </c>
      <c r="B13" s="78" t="str">
        <f>'ALS 10 BAZAR'!B13:E13</f>
        <v>CAPA MAQ. DE LAVAR 12/17KG</v>
      </c>
      <c r="C13" s="79"/>
      <c r="D13" s="79"/>
      <c r="E13" s="80"/>
      <c r="F13" s="42">
        <f>'ALS 10 BAZAR'!F13</f>
        <v>25</v>
      </c>
      <c r="G13" s="43">
        <f>'ALS 10 BAZAR'!G13</f>
        <v>0</v>
      </c>
      <c r="H13" s="39">
        <f t="shared" ref="H13:H76" si="1">F13*G13</f>
        <v>0</v>
      </c>
      <c r="I13" s="39"/>
      <c r="J13" s="47"/>
      <c r="K13" s="189"/>
      <c r="L13" s="190"/>
      <c r="M13" s="78"/>
      <c r="N13" s="80"/>
      <c r="O13" s="189"/>
      <c r="P13" s="190"/>
      <c r="Q13" s="78"/>
      <c r="R13" s="80"/>
      <c r="S13" s="189"/>
      <c r="T13" s="190"/>
      <c r="U13" s="78"/>
      <c r="V13" s="80"/>
      <c r="W13" s="189"/>
      <c r="X13" s="190"/>
      <c r="Y13" s="78"/>
      <c r="Z13" s="80"/>
      <c r="AA13" s="189"/>
      <c r="AB13" s="190"/>
      <c r="AC13" s="78"/>
      <c r="AD13" s="80"/>
      <c r="AE13" s="189"/>
      <c r="AF13" s="190"/>
      <c r="AG13" s="78"/>
      <c r="AH13" s="80"/>
      <c r="AI13" s="78"/>
      <c r="AJ13" s="80"/>
      <c r="AK13" s="189"/>
      <c r="AL13" s="190"/>
      <c r="AM13" s="78"/>
      <c r="AN13" s="80"/>
      <c r="AO13" s="189"/>
      <c r="AP13" s="190"/>
      <c r="AQ13" s="78"/>
      <c r="AR13" s="80"/>
      <c r="AS13" s="189"/>
      <c r="AT13" s="190"/>
      <c r="AU13" s="140"/>
      <c r="AV13" s="140"/>
      <c r="AW13" s="200"/>
      <c r="AX13" s="200"/>
      <c r="AY13" s="23"/>
      <c r="AZ13" s="23"/>
      <c r="BA13" s="23"/>
    </row>
    <row r="14" spans="1:53" s="44" customFormat="1" ht="22" customHeight="1" x14ac:dyDescent="0.2">
      <c r="A14" s="41">
        <f>'ALS 10 BAZAR'!A14</f>
        <v>0</v>
      </c>
      <c r="B14" s="78" t="str">
        <f>'ALS 10 BAZAR'!B14:E14</f>
        <v>CAPA MAQ. DE LAVAR 7/11KG</v>
      </c>
      <c r="C14" s="79"/>
      <c r="D14" s="79"/>
      <c r="E14" s="80"/>
      <c r="F14" s="42">
        <f>'ALS 10 BAZAR'!F14</f>
        <v>25</v>
      </c>
      <c r="G14" s="43">
        <f>'ALS 10 BAZAR'!G14</f>
        <v>0</v>
      </c>
      <c r="H14" s="39">
        <f t="shared" si="1"/>
        <v>0</v>
      </c>
      <c r="I14" s="39"/>
      <c r="J14" s="47"/>
      <c r="K14" s="189"/>
      <c r="L14" s="190"/>
      <c r="M14" s="78"/>
      <c r="N14" s="80"/>
      <c r="O14" s="189"/>
      <c r="P14" s="190"/>
      <c r="Q14" s="78"/>
      <c r="R14" s="80"/>
      <c r="S14" s="189"/>
      <c r="T14" s="190"/>
      <c r="U14" s="78"/>
      <c r="V14" s="80"/>
      <c r="W14" s="189"/>
      <c r="X14" s="190"/>
      <c r="Y14" s="78"/>
      <c r="Z14" s="80"/>
      <c r="AA14" s="189"/>
      <c r="AB14" s="190"/>
      <c r="AC14" s="78"/>
      <c r="AD14" s="80"/>
      <c r="AE14" s="189"/>
      <c r="AF14" s="190"/>
      <c r="AG14" s="78"/>
      <c r="AH14" s="80"/>
      <c r="AI14" s="78"/>
      <c r="AJ14" s="80"/>
      <c r="AK14" s="189"/>
      <c r="AL14" s="190"/>
      <c r="AM14" s="78"/>
      <c r="AN14" s="80"/>
      <c r="AO14" s="189"/>
      <c r="AP14" s="190"/>
      <c r="AQ14" s="78"/>
      <c r="AR14" s="80"/>
      <c r="AS14" s="189"/>
      <c r="AT14" s="190"/>
      <c r="AU14" s="140"/>
      <c r="AV14" s="140"/>
      <c r="AW14" s="200"/>
      <c r="AX14" s="200"/>
      <c r="AY14" s="23"/>
      <c r="AZ14" s="23"/>
      <c r="BA14" s="23"/>
    </row>
    <row r="15" spans="1:53" s="44" customFormat="1" ht="22" customHeight="1" x14ac:dyDescent="0.2">
      <c r="A15" s="41">
        <f>'ALS 10 BAZAR'!A15</f>
        <v>0</v>
      </c>
      <c r="B15" s="78" t="str">
        <f>'ALS 10 BAZAR'!B15:E15</f>
        <v>VARAO DE CORTINA 1,5M BRANCO</v>
      </c>
      <c r="C15" s="79"/>
      <c r="D15" s="79"/>
      <c r="E15" s="80"/>
      <c r="F15" s="42">
        <f>'ALS 10 BAZAR'!F15</f>
        <v>10</v>
      </c>
      <c r="G15" s="43">
        <f>'ALS 10 BAZAR'!G15</f>
        <v>40</v>
      </c>
      <c r="H15" s="39">
        <f t="shared" si="1"/>
        <v>400</v>
      </c>
      <c r="I15" s="39"/>
      <c r="J15" s="47"/>
      <c r="K15" s="189">
        <v>3</v>
      </c>
      <c r="L15" s="190"/>
      <c r="M15" s="78"/>
      <c r="N15" s="80"/>
      <c r="O15" s="189"/>
      <c r="P15" s="190"/>
      <c r="Q15" s="78"/>
      <c r="R15" s="80"/>
      <c r="S15" s="189"/>
      <c r="T15" s="190"/>
      <c r="U15" s="78"/>
      <c r="V15" s="80"/>
      <c r="W15" s="189"/>
      <c r="X15" s="190"/>
      <c r="Y15" s="78"/>
      <c r="Z15" s="80"/>
      <c r="AA15" s="189"/>
      <c r="AB15" s="190"/>
      <c r="AC15" s="78"/>
      <c r="AD15" s="80"/>
      <c r="AE15" s="189"/>
      <c r="AF15" s="190"/>
      <c r="AG15" s="78"/>
      <c r="AH15" s="80"/>
      <c r="AI15" s="78"/>
      <c r="AJ15" s="80"/>
      <c r="AK15" s="189"/>
      <c r="AL15" s="190"/>
      <c r="AM15" s="78"/>
      <c r="AN15" s="80"/>
      <c r="AO15" s="189"/>
      <c r="AP15" s="190"/>
      <c r="AQ15" s="78"/>
      <c r="AR15" s="80"/>
      <c r="AS15" s="189"/>
      <c r="AT15" s="190"/>
      <c r="AU15" s="140"/>
      <c r="AV15" s="140"/>
      <c r="AW15" s="200"/>
      <c r="AX15" s="200"/>
      <c r="AY15" s="23"/>
      <c r="AZ15" s="23"/>
      <c r="BA15" s="23"/>
    </row>
    <row r="16" spans="1:53" s="44" customFormat="1" ht="22" customHeight="1" x14ac:dyDescent="0.2">
      <c r="A16" s="41">
        <f>'ALS 10 BAZAR'!A16</f>
        <v>0</v>
      </c>
      <c r="B16" s="78" t="str">
        <f>'ALS 10 BAZAR'!B16:E16</f>
        <v>VARAO DE CORTINA 2M BRANCO</v>
      </c>
      <c r="C16" s="79"/>
      <c r="D16" s="79"/>
      <c r="E16" s="80"/>
      <c r="F16" s="42">
        <f>'ALS 10 BAZAR'!F16</f>
        <v>10</v>
      </c>
      <c r="G16" s="43">
        <f>'ALS 10 BAZAR'!G16</f>
        <v>40</v>
      </c>
      <c r="H16" s="39">
        <f t="shared" si="1"/>
        <v>400</v>
      </c>
      <c r="I16" s="39"/>
      <c r="J16" s="47"/>
      <c r="K16" s="189">
        <v>5</v>
      </c>
      <c r="L16" s="190"/>
      <c r="M16" s="78"/>
      <c r="N16" s="80"/>
      <c r="O16" s="189"/>
      <c r="P16" s="190"/>
      <c r="Q16" s="78"/>
      <c r="R16" s="80"/>
      <c r="S16" s="189"/>
      <c r="T16" s="190"/>
      <c r="U16" s="78"/>
      <c r="V16" s="80"/>
      <c r="W16" s="189"/>
      <c r="X16" s="190"/>
      <c r="Y16" s="78"/>
      <c r="Z16" s="80"/>
      <c r="AA16" s="189"/>
      <c r="AB16" s="190"/>
      <c r="AC16" s="78"/>
      <c r="AD16" s="80"/>
      <c r="AE16" s="189"/>
      <c r="AF16" s="190"/>
      <c r="AG16" s="78"/>
      <c r="AH16" s="80"/>
      <c r="AI16" s="78"/>
      <c r="AJ16" s="80"/>
      <c r="AK16" s="189"/>
      <c r="AL16" s="190"/>
      <c r="AM16" s="78"/>
      <c r="AN16" s="80"/>
      <c r="AO16" s="189"/>
      <c r="AP16" s="190"/>
      <c r="AQ16" s="78"/>
      <c r="AR16" s="80"/>
      <c r="AS16" s="189"/>
      <c r="AT16" s="190"/>
      <c r="AU16" s="140"/>
      <c r="AV16" s="140"/>
      <c r="AW16" s="200"/>
      <c r="AX16" s="200"/>
      <c r="AY16" s="23"/>
      <c r="AZ16" s="23"/>
      <c r="BA16" s="23"/>
    </row>
    <row r="17" spans="1:53" s="44" customFormat="1" ht="22" customHeight="1" x14ac:dyDescent="0.2">
      <c r="A17" s="41">
        <f>'ALS 10 BAZAR'!A17</f>
        <v>0</v>
      </c>
      <c r="B17" s="78" t="str">
        <f>'ALS 10 BAZAR'!B17:E17</f>
        <v>VARAO DE CORTINA 2,5M BRANCO</v>
      </c>
      <c r="C17" s="79"/>
      <c r="D17" s="79"/>
      <c r="E17" s="80"/>
      <c r="F17" s="42">
        <f>'ALS 10 BAZAR'!F17</f>
        <v>10</v>
      </c>
      <c r="G17" s="43">
        <f>'ALS 10 BAZAR'!G17</f>
        <v>40</v>
      </c>
      <c r="H17" s="39">
        <f t="shared" si="1"/>
        <v>400</v>
      </c>
      <c r="I17" s="39"/>
      <c r="J17" s="47"/>
      <c r="K17" s="189">
        <v>3</v>
      </c>
      <c r="L17" s="190"/>
      <c r="M17" s="78"/>
      <c r="N17" s="80"/>
      <c r="O17" s="189"/>
      <c r="P17" s="190"/>
      <c r="Q17" s="78"/>
      <c r="R17" s="80"/>
      <c r="S17" s="189"/>
      <c r="T17" s="190"/>
      <c r="U17" s="78"/>
      <c r="V17" s="80"/>
      <c r="W17" s="189"/>
      <c r="X17" s="190"/>
      <c r="Y17" s="78"/>
      <c r="Z17" s="80"/>
      <c r="AA17" s="189"/>
      <c r="AB17" s="190"/>
      <c r="AC17" s="78"/>
      <c r="AD17" s="80"/>
      <c r="AE17" s="189"/>
      <c r="AF17" s="190"/>
      <c r="AG17" s="78"/>
      <c r="AH17" s="80"/>
      <c r="AI17" s="78"/>
      <c r="AJ17" s="80"/>
      <c r="AK17" s="189"/>
      <c r="AL17" s="190"/>
      <c r="AM17" s="78"/>
      <c r="AN17" s="80"/>
      <c r="AO17" s="189"/>
      <c r="AP17" s="190"/>
      <c r="AQ17" s="78"/>
      <c r="AR17" s="80"/>
      <c r="AS17" s="189"/>
      <c r="AT17" s="190"/>
      <c r="AU17" s="140"/>
      <c r="AV17" s="140"/>
      <c r="AW17" s="200"/>
      <c r="AX17" s="200"/>
      <c r="AY17" s="23"/>
      <c r="AZ17" s="23"/>
      <c r="BA17" s="23"/>
    </row>
    <row r="18" spans="1:53" s="44" customFormat="1" ht="22" customHeight="1" x14ac:dyDescent="0.2">
      <c r="A18" s="41">
        <f>'ALS 10 BAZAR'!A18</f>
        <v>0</v>
      </c>
      <c r="B18" s="78" t="str">
        <f>'ALS 10 BAZAR'!B18:E18</f>
        <v>VARAO DE CORTINA 1,5M IMBUIA</v>
      </c>
      <c r="C18" s="79"/>
      <c r="D18" s="79"/>
      <c r="E18" s="80"/>
      <c r="F18" s="42">
        <f>'ALS 10 BAZAR'!F18</f>
        <v>10</v>
      </c>
      <c r="G18" s="43">
        <f>'ALS 10 BAZAR'!G18</f>
        <v>40</v>
      </c>
      <c r="H18" s="39">
        <f t="shared" si="1"/>
        <v>400</v>
      </c>
      <c r="I18" s="39"/>
      <c r="J18" s="47"/>
      <c r="K18" s="189">
        <v>3</v>
      </c>
      <c r="L18" s="190"/>
      <c r="M18" s="78"/>
      <c r="N18" s="80"/>
      <c r="O18" s="189"/>
      <c r="P18" s="190"/>
      <c r="Q18" s="78"/>
      <c r="R18" s="80"/>
      <c r="S18" s="189"/>
      <c r="T18" s="190"/>
      <c r="U18" s="78"/>
      <c r="V18" s="80"/>
      <c r="W18" s="189"/>
      <c r="X18" s="190"/>
      <c r="Y18" s="78"/>
      <c r="Z18" s="80"/>
      <c r="AA18" s="189"/>
      <c r="AB18" s="190"/>
      <c r="AC18" s="78"/>
      <c r="AD18" s="80"/>
      <c r="AE18" s="189"/>
      <c r="AF18" s="190"/>
      <c r="AG18" s="78"/>
      <c r="AH18" s="80"/>
      <c r="AI18" s="78"/>
      <c r="AJ18" s="80"/>
      <c r="AK18" s="189"/>
      <c r="AL18" s="190"/>
      <c r="AM18" s="78"/>
      <c r="AN18" s="80"/>
      <c r="AO18" s="189"/>
      <c r="AP18" s="190"/>
      <c r="AQ18" s="78"/>
      <c r="AR18" s="80"/>
      <c r="AS18" s="189"/>
      <c r="AT18" s="190"/>
      <c r="AU18" s="140"/>
      <c r="AV18" s="140"/>
      <c r="AW18" s="200"/>
      <c r="AX18" s="200"/>
      <c r="AY18" s="23"/>
      <c r="AZ18" s="23"/>
      <c r="BA18" s="23"/>
    </row>
    <row r="19" spans="1:53" s="44" customFormat="1" ht="22" customHeight="1" x14ac:dyDescent="0.2">
      <c r="A19" s="41">
        <f>'ALS 10 BAZAR'!A19</f>
        <v>0</v>
      </c>
      <c r="B19" s="78" t="str">
        <f>'ALS 10 BAZAR'!B19:E19</f>
        <v>VARAO DE CORTINA 2M IMBUIA</v>
      </c>
      <c r="C19" s="79"/>
      <c r="D19" s="79"/>
      <c r="E19" s="80"/>
      <c r="F19" s="42">
        <f>'ALS 10 BAZAR'!F19</f>
        <v>10</v>
      </c>
      <c r="G19" s="43">
        <f>'ALS 10 BAZAR'!G19</f>
        <v>60</v>
      </c>
      <c r="H19" s="39">
        <f t="shared" si="1"/>
        <v>600</v>
      </c>
      <c r="I19" s="39"/>
      <c r="J19" s="47"/>
      <c r="K19" s="189">
        <v>2</v>
      </c>
      <c r="L19" s="190"/>
      <c r="M19" s="78"/>
      <c r="N19" s="80"/>
      <c r="O19" s="189"/>
      <c r="P19" s="190"/>
      <c r="Q19" s="78"/>
      <c r="R19" s="80"/>
      <c r="S19" s="189"/>
      <c r="T19" s="190"/>
      <c r="U19" s="78"/>
      <c r="V19" s="80"/>
      <c r="W19" s="189"/>
      <c r="X19" s="190"/>
      <c r="Y19" s="78"/>
      <c r="Z19" s="80"/>
      <c r="AA19" s="189"/>
      <c r="AB19" s="190"/>
      <c r="AC19" s="78"/>
      <c r="AD19" s="80"/>
      <c r="AE19" s="189"/>
      <c r="AF19" s="190"/>
      <c r="AG19" s="78"/>
      <c r="AH19" s="80"/>
      <c r="AI19" s="78"/>
      <c r="AJ19" s="80"/>
      <c r="AK19" s="189"/>
      <c r="AL19" s="190"/>
      <c r="AM19" s="78"/>
      <c r="AN19" s="80"/>
      <c r="AO19" s="189"/>
      <c r="AP19" s="190"/>
      <c r="AQ19" s="78"/>
      <c r="AR19" s="80"/>
      <c r="AS19" s="189"/>
      <c r="AT19" s="190"/>
      <c r="AU19" s="140"/>
      <c r="AV19" s="140"/>
      <c r="AW19" s="189"/>
      <c r="AX19" s="190"/>
      <c r="AY19" s="23"/>
      <c r="AZ19" s="23"/>
      <c r="BA19" s="23"/>
    </row>
    <row r="20" spans="1:53" s="44" customFormat="1" ht="22" customHeight="1" x14ac:dyDescent="0.2">
      <c r="A20" s="41">
        <f>'ALS 10 BAZAR'!A20</f>
        <v>0</v>
      </c>
      <c r="B20" s="78" t="str">
        <f>'ALS 10 BAZAR'!B20:E20</f>
        <v>VARAO DE CORTINA 2,5M IMBUIA</v>
      </c>
      <c r="C20" s="79"/>
      <c r="D20" s="79"/>
      <c r="E20" s="80"/>
      <c r="F20" s="42">
        <f>'ALS 10 BAZAR'!F20</f>
        <v>10</v>
      </c>
      <c r="G20" s="43">
        <f>'ALS 10 BAZAR'!G20</f>
        <v>40</v>
      </c>
      <c r="H20" s="39">
        <f t="shared" si="1"/>
        <v>400</v>
      </c>
      <c r="I20" s="39"/>
      <c r="J20" s="47"/>
      <c r="K20" s="189">
        <v>2</v>
      </c>
      <c r="L20" s="190"/>
      <c r="M20" s="78"/>
      <c r="N20" s="80"/>
      <c r="O20" s="189"/>
      <c r="P20" s="190"/>
      <c r="Q20" s="78"/>
      <c r="R20" s="80"/>
      <c r="S20" s="189"/>
      <c r="T20" s="190"/>
      <c r="U20" s="78"/>
      <c r="V20" s="80"/>
      <c r="W20" s="189"/>
      <c r="X20" s="190"/>
      <c r="Y20" s="78"/>
      <c r="Z20" s="80"/>
      <c r="AA20" s="189"/>
      <c r="AB20" s="190"/>
      <c r="AC20" s="78"/>
      <c r="AD20" s="80"/>
      <c r="AE20" s="189"/>
      <c r="AF20" s="190"/>
      <c r="AG20" s="78"/>
      <c r="AH20" s="80"/>
      <c r="AI20" s="78"/>
      <c r="AJ20" s="80"/>
      <c r="AK20" s="189"/>
      <c r="AL20" s="190"/>
      <c r="AM20" s="78"/>
      <c r="AN20" s="80"/>
      <c r="AO20" s="189"/>
      <c r="AP20" s="190"/>
      <c r="AQ20" s="78"/>
      <c r="AR20" s="80"/>
      <c r="AS20" s="189"/>
      <c r="AT20" s="190"/>
      <c r="AU20" s="140"/>
      <c r="AV20" s="140"/>
      <c r="AW20" s="189"/>
      <c r="AX20" s="190"/>
      <c r="AY20" s="23"/>
      <c r="AZ20" s="23"/>
      <c r="BA20" s="23"/>
    </row>
    <row r="21" spans="1:53" s="44" customFormat="1" ht="22" customHeight="1" x14ac:dyDescent="0.2">
      <c r="A21" s="41">
        <f>'ALS 10 BAZAR'!A21</f>
        <v>0</v>
      </c>
      <c r="B21" s="78" t="str">
        <f>'ALS 10 BAZAR'!B21:E21</f>
        <v>VARAO DE CORTINA 1,5M BEGE</v>
      </c>
      <c r="C21" s="79"/>
      <c r="D21" s="79"/>
      <c r="E21" s="80"/>
      <c r="F21" s="42">
        <f>'ALS 10 BAZAR'!F21</f>
        <v>10</v>
      </c>
      <c r="G21" s="43">
        <f>'ALS 10 BAZAR'!G21</f>
        <v>40</v>
      </c>
      <c r="H21" s="39">
        <f t="shared" si="1"/>
        <v>400</v>
      </c>
      <c r="I21" s="39"/>
      <c r="J21" s="47"/>
      <c r="K21" s="189">
        <v>2</v>
      </c>
      <c r="L21" s="190"/>
      <c r="M21" s="78"/>
      <c r="N21" s="80"/>
      <c r="O21" s="189"/>
      <c r="P21" s="190"/>
      <c r="Q21" s="78"/>
      <c r="R21" s="80"/>
      <c r="S21" s="189"/>
      <c r="T21" s="190"/>
      <c r="U21" s="78"/>
      <c r="V21" s="80"/>
      <c r="W21" s="189"/>
      <c r="X21" s="190"/>
      <c r="Y21" s="78"/>
      <c r="Z21" s="80"/>
      <c r="AA21" s="189"/>
      <c r="AB21" s="190"/>
      <c r="AC21" s="78"/>
      <c r="AD21" s="80"/>
      <c r="AE21" s="189"/>
      <c r="AF21" s="190"/>
      <c r="AG21" s="78"/>
      <c r="AH21" s="80"/>
      <c r="AI21" s="78"/>
      <c r="AJ21" s="80"/>
      <c r="AK21" s="189"/>
      <c r="AL21" s="190"/>
      <c r="AM21" s="78"/>
      <c r="AN21" s="80"/>
      <c r="AO21" s="189"/>
      <c r="AP21" s="190"/>
      <c r="AQ21" s="78"/>
      <c r="AR21" s="80"/>
      <c r="AS21" s="189"/>
      <c r="AT21" s="190"/>
      <c r="AU21" s="140"/>
      <c r="AV21" s="140"/>
      <c r="AW21" s="189"/>
      <c r="AX21" s="190"/>
      <c r="AY21" s="23"/>
      <c r="AZ21" s="23"/>
      <c r="BA21" s="23"/>
    </row>
    <row r="22" spans="1:53" s="44" customFormat="1" ht="22" customHeight="1" x14ac:dyDescent="0.2">
      <c r="A22" s="41">
        <f>'ALS 10 BAZAR'!A22</f>
        <v>0</v>
      </c>
      <c r="B22" s="78" t="str">
        <f>'ALS 10 BAZAR'!B22:E22</f>
        <v>VARAO DE CORTINA 2M BEGE</v>
      </c>
      <c r="C22" s="79"/>
      <c r="D22" s="79"/>
      <c r="E22" s="80"/>
      <c r="F22" s="42">
        <f>'ALS 10 BAZAR'!F22</f>
        <v>10</v>
      </c>
      <c r="G22" s="43">
        <f>'ALS 10 BAZAR'!G22</f>
        <v>40</v>
      </c>
      <c r="H22" s="39">
        <f t="shared" si="1"/>
        <v>400</v>
      </c>
      <c r="I22" s="39"/>
      <c r="J22" s="47"/>
      <c r="K22" s="189">
        <v>3</v>
      </c>
      <c r="L22" s="190"/>
      <c r="M22" s="78"/>
      <c r="N22" s="80"/>
      <c r="O22" s="189"/>
      <c r="P22" s="190"/>
      <c r="Q22" s="78"/>
      <c r="R22" s="80"/>
      <c r="S22" s="189"/>
      <c r="T22" s="190"/>
      <c r="U22" s="78"/>
      <c r="V22" s="80"/>
      <c r="W22" s="189"/>
      <c r="X22" s="190"/>
      <c r="Y22" s="78"/>
      <c r="Z22" s="80"/>
      <c r="AA22" s="189"/>
      <c r="AB22" s="190"/>
      <c r="AC22" s="78"/>
      <c r="AD22" s="80"/>
      <c r="AE22" s="189"/>
      <c r="AF22" s="190"/>
      <c r="AG22" s="78"/>
      <c r="AH22" s="80"/>
      <c r="AI22" s="78"/>
      <c r="AJ22" s="80"/>
      <c r="AK22" s="189"/>
      <c r="AL22" s="190"/>
      <c r="AM22" s="78"/>
      <c r="AN22" s="80"/>
      <c r="AO22" s="189"/>
      <c r="AP22" s="190"/>
      <c r="AQ22" s="78"/>
      <c r="AR22" s="80"/>
      <c r="AS22" s="189"/>
      <c r="AT22" s="190"/>
      <c r="AU22" s="140"/>
      <c r="AV22" s="140"/>
      <c r="AW22" s="189"/>
      <c r="AX22" s="190"/>
      <c r="AY22" s="23"/>
      <c r="AZ22" s="23"/>
      <c r="BA22" s="23"/>
    </row>
    <row r="23" spans="1:53" s="44" customFormat="1" ht="22" customHeight="1" x14ac:dyDescent="0.2">
      <c r="A23" s="41">
        <f>'ALS 10 BAZAR'!A23</f>
        <v>0</v>
      </c>
      <c r="B23" s="78" t="str">
        <f>'ALS 10 BAZAR'!B23:E23</f>
        <v>VARAO DE CORTINA 2,5M BEGE</v>
      </c>
      <c r="C23" s="79"/>
      <c r="D23" s="79"/>
      <c r="E23" s="80"/>
      <c r="F23" s="42">
        <f>'ALS 10 BAZAR'!F23</f>
        <v>10</v>
      </c>
      <c r="G23" s="43">
        <f>'ALS 10 BAZAR'!G23</f>
        <v>40</v>
      </c>
      <c r="H23" s="39">
        <f t="shared" si="1"/>
        <v>400</v>
      </c>
      <c r="I23" s="39"/>
      <c r="J23" s="47"/>
      <c r="K23" s="189">
        <v>2</v>
      </c>
      <c r="L23" s="190"/>
      <c r="M23" s="78"/>
      <c r="N23" s="80"/>
      <c r="O23" s="189"/>
      <c r="P23" s="190"/>
      <c r="Q23" s="78"/>
      <c r="R23" s="80"/>
      <c r="S23" s="189"/>
      <c r="T23" s="190"/>
      <c r="U23" s="78"/>
      <c r="V23" s="80"/>
      <c r="W23" s="189"/>
      <c r="X23" s="190"/>
      <c r="Y23" s="78"/>
      <c r="Z23" s="80"/>
      <c r="AA23" s="189"/>
      <c r="AB23" s="190"/>
      <c r="AC23" s="78"/>
      <c r="AD23" s="80"/>
      <c r="AE23" s="189"/>
      <c r="AF23" s="190"/>
      <c r="AG23" s="78"/>
      <c r="AH23" s="80"/>
      <c r="AI23" s="78"/>
      <c r="AJ23" s="80"/>
      <c r="AK23" s="189"/>
      <c r="AL23" s="190"/>
      <c r="AM23" s="78"/>
      <c r="AN23" s="80"/>
      <c r="AO23" s="189"/>
      <c r="AP23" s="190"/>
      <c r="AQ23" s="78"/>
      <c r="AR23" s="80"/>
      <c r="AS23" s="189"/>
      <c r="AT23" s="190"/>
      <c r="AU23" s="78"/>
      <c r="AV23" s="80"/>
      <c r="AW23" s="189"/>
      <c r="AX23" s="190"/>
      <c r="AY23" s="23"/>
      <c r="AZ23" s="23"/>
      <c r="BA23" s="23"/>
    </row>
    <row r="24" spans="1:53" s="44" customFormat="1" ht="22" customHeight="1" x14ac:dyDescent="0.2">
      <c r="A24" s="41">
        <f>'ALS 10 BAZAR'!A24</f>
        <v>0</v>
      </c>
      <c r="B24" s="78" t="str">
        <f>'ALS 10 BAZAR'!B24:E24</f>
        <v>VARAO 2M ROSA</v>
      </c>
      <c r="C24" s="79"/>
      <c r="D24" s="79"/>
      <c r="E24" s="80"/>
      <c r="F24" s="42">
        <f>'ALS 10 BAZAR'!F24</f>
        <v>10</v>
      </c>
      <c r="G24" s="43">
        <f>'ALS 10 BAZAR'!G24</f>
        <v>50</v>
      </c>
      <c r="H24" s="39">
        <f t="shared" si="1"/>
        <v>500</v>
      </c>
      <c r="I24" s="39"/>
      <c r="J24" s="47"/>
      <c r="K24" s="189">
        <v>1</v>
      </c>
      <c r="L24" s="190"/>
      <c r="M24" s="78"/>
      <c r="N24" s="80"/>
      <c r="O24" s="189"/>
      <c r="P24" s="190"/>
      <c r="Q24" s="78"/>
      <c r="R24" s="80"/>
      <c r="S24" s="189"/>
      <c r="T24" s="190"/>
      <c r="U24" s="78"/>
      <c r="V24" s="80"/>
      <c r="W24" s="189"/>
      <c r="X24" s="190"/>
      <c r="Y24" s="78"/>
      <c r="Z24" s="80"/>
      <c r="AA24" s="189"/>
      <c r="AB24" s="190"/>
      <c r="AC24" s="78"/>
      <c r="AD24" s="80"/>
      <c r="AE24" s="189"/>
      <c r="AF24" s="190"/>
      <c r="AG24" s="78"/>
      <c r="AH24" s="80"/>
      <c r="AI24" s="78"/>
      <c r="AJ24" s="80"/>
      <c r="AK24" s="189"/>
      <c r="AL24" s="190"/>
      <c r="AM24" s="78"/>
      <c r="AN24" s="80"/>
      <c r="AO24" s="189"/>
      <c r="AP24" s="190"/>
      <c r="AQ24" s="78"/>
      <c r="AR24" s="80"/>
      <c r="AS24" s="189"/>
      <c r="AT24" s="190"/>
      <c r="AU24" s="78"/>
      <c r="AV24" s="80"/>
      <c r="AW24" s="189"/>
      <c r="AX24" s="190"/>
      <c r="AY24" s="23"/>
      <c r="AZ24" s="23"/>
      <c r="BA24" s="23"/>
    </row>
    <row r="25" spans="1:53" s="44" customFormat="1" ht="22" customHeight="1" x14ac:dyDescent="0.2">
      <c r="A25" s="41">
        <f>'ALS 10 BAZAR'!A25</f>
        <v>0</v>
      </c>
      <c r="B25" s="78" t="str">
        <f>'ALS 10 BAZAR'!B25:E25</f>
        <v>VARAO 2M AZUL</v>
      </c>
      <c r="C25" s="79"/>
      <c r="D25" s="79"/>
      <c r="E25" s="80"/>
      <c r="F25" s="42">
        <f>'ALS 10 BAZAR'!F25</f>
        <v>10</v>
      </c>
      <c r="G25" s="43">
        <f>'ALS 10 BAZAR'!G25</f>
        <v>50</v>
      </c>
      <c r="H25" s="39">
        <f t="shared" si="1"/>
        <v>500</v>
      </c>
      <c r="I25" s="39"/>
      <c r="J25" s="47"/>
      <c r="K25" s="189">
        <v>1</v>
      </c>
      <c r="L25" s="190"/>
      <c r="M25" s="78"/>
      <c r="N25" s="80"/>
      <c r="O25" s="189"/>
      <c r="P25" s="190"/>
      <c r="Q25" s="78"/>
      <c r="R25" s="80"/>
      <c r="S25" s="189"/>
      <c r="T25" s="190"/>
      <c r="U25" s="78"/>
      <c r="V25" s="80"/>
      <c r="W25" s="189"/>
      <c r="X25" s="190"/>
      <c r="Y25" s="78"/>
      <c r="Z25" s="80"/>
      <c r="AA25" s="189"/>
      <c r="AB25" s="190"/>
      <c r="AC25" s="78"/>
      <c r="AD25" s="80"/>
      <c r="AE25" s="189"/>
      <c r="AF25" s="190"/>
      <c r="AG25" s="78"/>
      <c r="AH25" s="80"/>
      <c r="AI25" s="78"/>
      <c r="AJ25" s="80"/>
      <c r="AK25" s="189"/>
      <c r="AL25" s="190"/>
      <c r="AM25" s="78"/>
      <c r="AN25" s="80"/>
      <c r="AO25" s="189"/>
      <c r="AP25" s="190"/>
      <c r="AQ25" s="78"/>
      <c r="AR25" s="80"/>
      <c r="AS25" s="189"/>
      <c r="AT25" s="190"/>
      <c r="AU25" s="78"/>
      <c r="AV25" s="80"/>
      <c r="AW25" s="189"/>
      <c r="AX25" s="190"/>
      <c r="AY25" s="23"/>
      <c r="AZ25" s="23"/>
      <c r="BA25" s="23"/>
    </row>
    <row r="26" spans="1:53" s="44" customFormat="1" ht="22" customHeight="1" x14ac:dyDescent="0.2">
      <c r="A26" s="41">
        <f>'ALS 10 BAZAR'!A26</f>
        <v>0</v>
      </c>
      <c r="B26" s="78">
        <f>'ALS 10 BAZAR'!B26:E26</f>
        <v>0</v>
      </c>
      <c r="C26" s="79"/>
      <c r="D26" s="79"/>
      <c r="E26" s="80"/>
      <c r="F26" s="42">
        <f>'ALS 10 BAZAR'!F26</f>
        <v>0</v>
      </c>
      <c r="G26" s="43">
        <f>'ALS 10 BAZAR'!G26</f>
        <v>0</v>
      </c>
      <c r="H26" s="39">
        <f t="shared" si="1"/>
        <v>0</v>
      </c>
      <c r="I26" s="39"/>
      <c r="J26" s="47"/>
      <c r="K26" s="189"/>
      <c r="L26" s="190"/>
      <c r="M26" s="78"/>
      <c r="N26" s="80"/>
      <c r="O26" s="189"/>
      <c r="P26" s="190"/>
      <c r="Q26" s="78"/>
      <c r="R26" s="80"/>
      <c r="S26" s="189"/>
      <c r="T26" s="190"/>
      <c r="U26" s="78"/>
      <c r="V26" s="80"/>
      <c r="W26" s="189"/>
      <c r="X26" s="190"/>
      <c r="Y26" s="78"/>
      <c r="Z26" s="80"/>
      <c r="AA26" s="189"/>
      <c r="AB26" s="190"/>
      <c r="AC26" s="78"/>
      <c r="AD26" s="80"/>
      <c r="AE26" s="189"/>
      <c r="AF26" s="190"/>
      <c r="AG26" s="78"/>
      <c r="AH26" s="80"/>
      <c r="AI26" s="78"/>
      <c r="AJ26" s="80"/>
      <c r="AK26" s="189"/>
      <c r="AL26" s="190"/>
      <c r="AM26" s="78"/>
      <c r="AN26" s="80"/>
      <c r="AO26" s="189"/>
      <c r="AP26" s="190"/>
      <c r="AQ26" s="78"/>
      <c r="AR26" s="80"/>
      <c r="AS26" s="189"/>
      <c r="AT26" s="190"/>
      <c r="AU26" s="78"/>
      <c r="AV26" s="80"/>
      <c r="AW26" s="189"/>
      <c r="AX26" s="190"/>
      <c r="AY26" s="23"/>
      <c r="AZ26" s="23"/>
      <c r="BA26" s="23"/>
    </row>
    <row r="27" spans="1:53" s="44" customFormat="1" ht="22" customHeight="1" x14ac:dyDescent="0.2">
      <c r="A27" s="41">
        <f>'ALS 10 BAZAR'!A27</f>
        <v>0</v>
      </c>
      <c r="B27" s="78">
        <f>'ALS 10 BAZAR'!B27:E27</f>
        <v>0</v>
      </c>
      <c r="C27" s="79"/>
      <c r="D27" s="79"/>
      <c r="E27" s="80"/>
      <c r="F27" s="42">
        <f>'ALS 10 BAZAR'!F27</f>
        <v>0</v>
      </c>
      <c r="G27" s="43">
        <f>'ALS 10 BAZAR'!G27</f>
        <v>0</v>
      </c>
      <c r="H27" s="39">
        <f t="shared" si="1"/>
        <v>0</v>
      </c>
      <c r="I27" s="39"/>
      <c r="J27" s="47"/>
      <c r="K27" s="189"/>
      <c r="L27" s="190"/>
      <c r="M27" s="78"/>
      <c r="N27" s="80"/>
      <c r="O27" s="189"/>
      <c r="P27" s="190"/>
      <c r="Q27" s="78"/>
      <c r="R27" s="80"/>
      <c r="S27" s="189"/>
      <c r="T27" s="190"/>
      <c r="U27" s="78"/>
      <c r="V27" s="80"/>
      <c r="W27" s="189"/>
      <c r="X27" s="190"/>
      <c r="Y27" s="78"/>
      <c r="Z27" s="80"/>
      <c r="AA27" s="189"/>
      <c r="AB27" s="190"/>
      <c r="AC27" s="78"/>
      <c r="AD27" s="80"/>
      <c r="AE27" s="189"/>
      <c r="AF27" s="190"/>
      <c r="AG27" s="78"/>
      <c r="AH27" s="80"/>
      <c r="AI27" s="78"/>
      <c r="AJ27" s="80"/>
      <c r="AK27" s="189"/>
      <c r="AL27" s="190"/>
      <c r="AM27" s="78"/>
      <c r="AN27" s="80"/>
      <c r="AO27" s="189"/>
      <c r="AP27" s="190"/>
      <c r="AQ27" s="78"/>
      <c r="AR27" s="80"/>
      <c r="AS27" s="189"/>
      <c r="AT27" s="190"/>
      <c r="AU27" s="78"/>
      <c r="AV27" s="80"/>
      <c r="AW27" s="189"/>
      <c r="AX27" s="190"/>
      <c r="AY27" s="23"/>
      <c r="AZ27" s="23"/>
      <c r="BA27" s="23"/>
    </row>
    <row r="28" spans="1:53" s="44" customFormat="1" ht="22" customHeight="1" x14ac:dyDescent="0.2">
      <c r="A28" s="114" t="s">
        <v>98</v>
      </c>
      <c r="B28" s="115"/>
      <c r="C28" s="115"/>
      <c r="D28" s="115"/>
      <c r="E28" s="115"/>
      <c r="F28" s="115"/>
      <c r="G28" s="116"/>
      <c r="H28" s="39">
        <f t="shared" si="1"/>
        <v>0</v>
      </c>
      <c r="I28" s="39"/>
      <c r="J28" s="47"/>
      <c r="K28" s="189"/>
      <c r="L28" s="190"/>
      <c r="M28" s="78"/>
      <c r="N28" s="80"/>
      <c r="O28" s="189"/>
      <c r="P28" s="190"/>
      <c r="Q28" s="78"/>
      <c r="R28" s="80"/>
      <c r="S28" s="189"/>
      <c r="T28" s="190"/>
      <c r="U28" s="78"/>
      <c r="V28" s="80"/>
      <c r="W28" s="189"/>
      <c r="X28" s="190"/>
      <c r="Y28" s="78"/>
      <c r="Z28" s="80"/>
      <c r="AA28" s="189"/>
      <c r="AB28" s="190"/>
      <c r="AC28" s="78"/>
      <c r="AD28" s="80"/>
      <c r="AE28" s="189"/>
      <c r="AF28" s="190"/>
      <c r="AG28" s="78"/>
      <c r="AH28" s="80"/>
      <c r="AI28" s="78"/>
      <c r="AJ28" s="80"/>
      <c r="AK28" s="189"/>
      <c r="AL28" s="190"/>
      <c r="AM28" s="78"/>
      <c r="AN28" s="80"/>
      <c r="AO28" s="189"/>
      <c r="AP28" s="190"/>
      <c r="AQ28" s="78"/>
      <c r="AR28" s="80"/>
      <c r="AS28" s="189"/>
      <c r="AT28" s="190"/>
      <c r="AU28" s="78"/>
      <c r="AV28" s="80"/>
      <c r="AW28" s="189"/>
      <c r="AX28" s="190"/>
      <c r="AY28" s="23"/>
      <c r="AZ28" s="23"/>
      <c r="BA28" s="23"/>
    </row>
    <row r="29" spans="1:53" s="44" customFormat="1" ht="22" customHeight="1" x14ac:dyDescent="0.2">
      <c r="A29" s="117"/>
      <c r="B29" s="118"/>
      <c r="C29" s="118"/>
      <c r="D29" s="118"/>
      <c r="E29" s="118"/>
      <c r="F29" s="118"/>
      <c r="G29" s="119"/>
      <c r="H29" s="39">
        <f t="shared" si="1"/>
        <v>0</v>
      </c>
      <c r="I29" s="39"/>
      <c r="J29" s="47"/>
      <c r="K29" s="189"/>
      <c r="L29" s="190"/>
      <c r="M29" s="78"/>
      <c r="N29" s="80"/>
      <c r="O29" s="189"/>
      <c r="P29" s="190"/>
      <c r="Q29" s="78"/>
      <c r="R29" s="80"/>
      <c r="S29" s="189"/>
      <c r="T29" s="190"/>
      <c r="U29" s="78"/>
      <c r="V29" s="80"/>
      <c r="W29" s="189"/>
      <c r="X29" s="190"/>
      <c r="Y29" s="78"/>
      <c r="Z29" s="80"/>
      <c r="AA29" s="189"/>
      <c r="AB29" s="190"/>
      <c r="AC29" s="78"/>
      <c r="AD29" s="80"/>
      <c r="AE29" s="189"/>
      <c r="AF29" s="190"/>
      <c r="AG29" s="78"/>
      <c r="AH29" s="80"/>
      <c r="AI29" s="78"/>
      <c r="AJ29" s="80"/>
      <c r="AK29" s="189"/>
      <c r="AL29" s="190"/>
      <c r="AM29" s="78"/>
      <c r="AN29" s="80"/>
      <c r="AO29" s="189"/>
      <c r="AP29" s="190"/>
      <c r="AQ29" s="78"/>
      <c r="AR29" s="80"/>
      <c r="AS29" s="189"/>
      <c r="AT29" s="190"/>
      <c r="AU29" s="78"/>
      <c r="AV29" s="80"/>
      <c r="AW29" s="189"/>
      <c r="AX29" s="190"/>
      <c r="AY29" s="23"/>
      <c r="AZ29" s="23"/>
      <c r="BA29" s="23"/>
    </row>
    <row r="30" spans="1:53" s="44" customFormat="1" ht="22" customHeight="1" x14ac:dyDescent="0.2">
      <c r="A30" s="120"/>
      <c r="B30" s="121"/>
      <c r="C30" s="121"/>
      <c r="D30" s="121"/>
      <c r="E30" s="121"/>
      <c r="F30" s="121"/>
      <c r="G30" s="122"/>
      <c r="H30" s="39">
        <f t="shared" si="1"/>
        <v>0</v>
      </c>
      <c r="I30" s="39"/>
      <c r="J30" s="47"/>
      <c r="K30" s="189"/>
      <c r="L30" s="190"/>
      <c r="M30" s="78"/>
      <c r="N30" s="80"/>
      <c r="O30" s="189"/>
      <c r="P30" s="190"/>
      <c r="Q30" s="78"/>
      <c r="R30" s="80"/>
      <c r="S30" s="189"/>
      <c r="T30" s="190"/>
      <c r="U30" s="78"/>
      <c r="V30" s="80"/>
      <c r="W30" s="189"/>
      <c r="X30" s="190"/>
      <c r="Y30" s="78"/>
      <c r="Z30" s="80"/>
      <c r="AA30" s="189"/>
      <c r="AB30" s="190"/>
      <c r="AC30" s="78"/>
      <c r="AD30" s="80"/>
      <c r="AE30" s="189"/>
      <c r="AF30" s="190"/>
      <c r="AG30" s="78"/>
      <c r="AH30" s="80"/>
      <c r="AI30" s="78"/>
      <c r="AJ30" s="80"/>
      <c r="AK30" s="189"/>
      <c r="AL30" s="190"/>
      <c r="AM30" s="78"/>
      <c r="AN30" s="80"/>
      <c r="AO30" s="189"/>
      <c r="AP30" s="190"/>
      <c r="AQ30" s="78"/>
      <c r="AR30" s="80"/>
      <c r="AS30" s="189"/>
      <c r="AT30" s="190"/>
      <c r="AU30" s="78"/>
      <c r="AV30" s="80"/>
      <c r="AW30" s="189"/>
      <c r="AX30" s="190"/>
      <c r="AY30" s="23"/>
      <c r="AZ30" s="23"/>
      <c r="BA30" s="23"/>
    </row>
    <row r="31" spans="1:53" s="44" customFormat="1" ht="22" customHeight="1" x14ac:dyDescent="0.2">
      <c r="A31" s="5"/>
      <c r="B31" s="75"/>
      <c r="C31" s="76"/>
      <c r="D31" s="76"/>
      <c r="E31" s="77"/>
      <c r="F31" s="5"/>
      <c r="G31" s="5"/>
      <c r="H31" s="39">
        <f t="shared" si="1"/>
        <v>0</v>
      </c>
      <c r="I31" s="39"/>
      <c r="J31" s="47"/>
      <c r="K31" s="189"/>
      <c r="L31" s="190"/>
      <c r="M31" s="78"/>
      <c r="N31" s="80"/>
      <c r="O31" s="189"/>
      <c r="P31" s="190"/>
      <c r="Q31" s="78"/>
      <c r="R31" s="80"/>
      <c r="S31" s="189"/>
      <c r="T31" s="190"/>
      <c r="U31" s="78"/>
      <c r="V31" s="80"/>
      <c r="W31" s="189"/>
      <c r="X31" s="190"/>
      <c r="Y31" s="78"/>
      <c r="Z31" s="80"/>
      <c r="AA31" s="189"/>
      <c r="AB31" s="190"/>
      <c r="AC31" s="78"/>
      <c r="AD31" s="80"/>
      <c r="AE31" s="189"/>
      <c r="AF31" s="190"/>
      <c r="AG31" s="78"/>
      <c r="AH31" s="80"/>
      <c r="AI31" s="78"/>
      <c r="AJ31" s="80"/>
      <c r="AK31" s="189"/>
      <c r="AL31" s="190"/>
      <c r="AM31" s="78"/>
      <c r="AN31" s="80"/>
      <c r="AO31" s="189"/>
      <c r="AP31" s="190"/>
      <c r="AQ31" s="78"/>
      <c r="AR31" s="80"/>
      <c r="AS31" s="189"/>
      <c r="AT31" s="190"/>
      <c r="AU31" s="78"/>
      <c r="AV31" s="80"/>
      <c r="AW31" s="189"/>
      <c r="AX31" s="190"/>
      <c r="AY31" s="23"/>
      <c r="AZ31" s="23"/>
      <c r="BA31" s="23"/>
    </row>
    <row r="32" spans="1:53" s="44" customFormat="1" ht="22" customHeight="1" x14ac:dyDescent="0.2">
      <c r="A32" s="123" t="s">
        <v>106</v>
      </c>
      <c r="B32" s="124"/>
      <c r="C32" s="124"/>
      <c r="D32" s="124"/>
      <c r="E32" s="125"/>
      <c r="F32" s="5"/>
      <c r="G32" s="5"/>
      <c r="H32" s="39">
        <f t="shared" si="1"/>
        <v>0</v>
      </c>
      <c r="I32" s="39"/>
      <c r="J32" s="47"/>
      <c r="K32" s="189"/>
      <c r="L32" s="190"/>
      <c r="M32" s="78"/>
      <c r="N32" s="80"/>
      <c r="O32" s="189"/>
      <c r="P32" s="190"/>
      <c r="Q32" s="78"/>
      <c r="R32" s="80"/>
      <c r="S32" s="189"/>
      <c r="T32" s="190"/>
      <c r="U32" s="78"/>
      <c r="V32" s="80"/>
      <c r="W32" s="189"/>
      <c r="X32" s="190"/>
      <c r="Y32" s="78"/>
      <c r="Z32" s="80"/>
      <c r="AA32" s="189"/>
      <c r="AB32" s="190"/>
      <c r="AC32" s="78"/>
      <c r="AD32" s="80"/>
      <c r="AE32" s="189"/>
      <c r="AF32" s="190"/>
      <c r="AG32" s="78"/>
      <c r="AH32" s="80"/>
      <c r="AI32" s="78"/>
      <c r="AJ32" s="80"/>
      <c r="AK32" s="189"/>
      <c r="AL32" s="190"/>
      <c r="AM32" s="78"/>
      <c r="AN32" s="80"/>
      <c r="AO32" s="189"/>
      <c r="AP32" s="190"/>
      <c r="AQ32" s="78"/>
      <c r="AR32" s="80"/>
      <c r="AS32" s="189"/>
      <c r="AT32" s="190"/>
      <c r="AU32" s="78"/>
      <c r="AV32" s="80"/>
      <c r="AW32" s="189"/>
      <c r="AX32" s="190"/>
      <c r="AY32" s="23"/>
      <c r="AZ32" s="23"/>
      <c r="BA32" s="23"/>
    </row>
    <row r="33" spans="1:53" s="44" customFormat="1" ht="22" customHeight="1" x14ac:dyDescent="0.2">
      <c r="A33" s="126"/>
      <c r="B33" s="127"/>
      <c r="C33" s="127"/>
      <c r="D33" s="127"/>
      <c r="E33" s="128"/>
      <c r="F33" s="5"/>
      <c r="G33" s="5"/>
      <c r="H33" s="39">
        <f t="shared" si="1"/>
        <v>0</v>
      </c>
      <c r="I33" s="39"/>
      <c r="J33" s="47"/>
      <c r="K33" s="189"/>
      <c r="L33" s="190"/>
      <c r="M33" s="78"/>
      <c r="N33" s="80"/>
      <c r="O33" s="189"/>
      <c r="P33" s="190"/>
      <c r="Q33" s="78"/>
      <c r="R33" s="80"/>
      <c r="S33" s="189"/>
      <c r="T33" s="190"/>
      <c r="U33" s="78"/>
      <c r="V33" s="80"/>
      <c r="W33" s="189"/>
      <c r="X33" s="190"/>
      <c r="Y33" s="78"/>
      <c r="Z33" s="80"/>
      <c r="AA33" s="189"/>
      <c r="AB33" s="190"/>
      <c r="AC33" s="78"/>
      <c r="AD33" s="80"/>
      <c r="AE33" s="189"/>
      <c r="AF33" s="190"/>
      <c r="AG33" s="78"/>
      <c r="AH33" s="80"/>
      <c r="AI33" s="78"/>
      <c r="AJ33" s="80"/>
      <c r="AK33" s="189"/>
      <c r="AL33" s="190"/>
      <c r="AM33" s="78"/>
      <c r="AN33" s="80"/>
      <c r="AO33" s="189"/>
      <c r="AP33" s="190"/>
      <c r="AQ33" s="78"/>
      <c r="AR33" s="80"/>
      <c r="AS33" s="189"/>
      <c r="AT33" s="190"/>
      <c r="AU33" s="78"/>
      <c r="AV33" s="80"/>
      <c r="AW33" s="189"/>
      <c r="AX33" s="190"/>
      <c r="AY33" s="23"/>
      <c r="AZ33" s="23"/>
      <c r="BA33" s="23"/>
    </row>
    <row r="34" spans="1:53" s="44" customFormat="1" ht="22" customHeight="1" x14ac:dyDescent="0.2">
      <c r="A34" s="129"/>
      <c r="B34" s="130"/>
      <c r="C34" s="130"/>
      <c r="D34" s="130"/>
      <c r="E34" s="131"/>
      <c r="F34" s="5"/>
      <c r="G34" s="5"/>
      <c r="H34" s="39">
        <f t="shared" si="1"/>
        <v>0</v>
      </c>
      <c r="I34" s="39"/>
      <c r="J34" s="47"/>
      <c r="K34" s="189"/>
      <c r="L34" s="190"/>
      <c r="M34" s="78"/>
      <c r="N34" s="80"/>
      <c r="O34" s="189"/>
      <c r="P34" s="190"/>
      <c r="Q34" s="78"/>
      <c r="R34" s="80"/>
      <c r="S34" s="189"/>
      <c r="T34" s="190"/>
      <c r="U34" s="78"/>
      <c r="V34" s="80"/>
      <c r="W34" s="189"/>
      <c r="X34" s="190"/>
      <c r="Y34" s="78"/>
      <c r="Z34" s="80"/>
      <c r="AA34" s="189"/>
      <c r="AB34" s="190"/>
      <c r="AC34" s="78"/>
      <c r="AD34" s="80"/>
      <c r="AE34" s="189"/>
      <c r="AF34" s="190"/>
      <c r="AG34" s="78"/>
      <c r="AH34" s="80"/>
      <c r="AI34" s="78"/>
      <c r="AJ34" s="80"/>
      <c r="AK34" s="189"/>
      <c r="AL34" s="190"/>
      <c r="AM34" s="78"/>
      <c r="AN34" s="80"/>
      <c r="AO34" s="189"/>
      <c r="AP34" s="190"/>
      <c r="AQ34" s="78"/>
      <c r="AR34" s="80"/>
      <c r="AS34" s="189"/>
      <c r="AT34" s="190"/>
      <c r="AU34" s="78"/>
      <c r="AV34" s="80"/>
      <c r="AW34" s="189"/>
      <c r="AX34" s="190"/>
      <c r="AY34" s="23"/>
      <c r="AZ34" s="23"/>
      <c r="BA34" s="23"/>
    </row>
    <row r="35" spans="1:53" s="44" customFormat="1" ht="22" customHeight="1" x14ac:dyDescent="0.2">
      <c r="A35" s="41">
        <f>'ALS 10 BAZAR'!A35</f>
        <v>0</v>
      </c>
      <c r="B35" s="78">
        <f>'ALS 10 BAZAR'!B35:E35</f>
        <v>0</v>
      </c>
      <c r="C35" s="79"/>
      <c r="D35" s="79"/>
      <c r="E35" s="80"/>
      <c r="F35" s="42">
        <f>'ALS 10 BAZAR'!F35</f>
        <v>0</v>
      </c>
      <c r="G35" s="43">
        <f>'ALS 10 BAZAR'!G35</f>
        <v>0</v>
      </c>
      <c r="H35" s="39">
        <f t="shared" si="1"/>
        <v>0</v>
      </c>
      <c r="I35" s="39"/>
      <c r="J35" s="47"/>
      <c r="K35" s="189"/>
      <c r="L35" s="190"/>
      <c r="M35" s="78"/>
      <c r="N35" s="80"/>
      <c r="O35" s="189"/>
      <c r="P35" s="190"/>
      <c r="Q35" s="78"/>
      <c r="R35" s="80"/>
      <c r="S35" s="189"/>
      <c r="T35" s="190"/>
      <c r="U35" s="78"/>
      <c r="V35" s="80"/>
      <c r="W35" s="189"/>
      <c r="X35" s="190"/>
      <c r="Y35" s="78"/>
      <c r="Z35" s="80"/>
      <c r="AA35" s="189"/>
      <c r="AB35" s="190"/>
      <c r="AC35" s="78"/>
      <c r="AD35" s="80"/>
      <c r="AE35" s="189"/>
      <c r="AF35" s="190"/>
      <c r="AG35" s="78"/>
      <c r="AH35" s="80"/>
      <c r="AI35" s="78"/>
      <c r="AJ35" s="80"/>
      <c r="AK35" s="189"/>
      <c r="AL35" s="190"/>
      <c r="AM35" s="78"/>
      <c r="AN35" s="80"/>
      <c r="AO35" s="189"/>
      <c r="AP35" s="190"/>
      <c r="AQ35" s="78"/>
      <c r="AR35" s="80"/>
      <c r="AS35" s="189"/>
      <c r="AT35" s="190"/>
      <c r="AU35" s="78"/>
      <c r="AV35" s="80"/>
      <c r="AW35" s="189"/>
      <c r="AX35" s="190"/>
      <c r="AY35" s="23"/>
      <c r="AZ35" s="23"/>
      <c r="BA35" s="23"/>
    </row>
    <row r="36" spans="1:53" s="44" customFormat="1" ht="22" customHeight="1" x14ac:dyDescent="0.2">
      <c r="A36" s="41">
        <f>'ALS 10 BAZAR'!A36</f>
        <v>0</v>
      </c>
      <c r="B36" s="78">
        <f>'ALS 10 BAZAR'!B36:E36</f>
        <v>0</v>
      </c>
      <c r="C36" s="79"/>
      <c r="D36" s="79"/>
      <c r="E36" s="80"/>
      <c r="F36" s="42">
        <f>'ALS 10 BAZAR'!F36</f>
        <v>0</v>
      </c>
      <c r="G36" s="43">
        <f>'ALS 10 BAZAR'!G36</f>
        <v>0</v>
      </c>
      <c r="H36" s="39">
        <f t="shared" si="1"/>
        <v>0</v>
      </c>
      <c r="I36" s="39"/>
      <c r="J36" s="47"/>
      <c r="K36" s="189"/>
      <c r="L36" s="190"/>
      <c r="M36" s="78"/>
      <c r="N36" s="80"/>
      <c r="O36" s="189"/>
      <c r="P36" s="190"/>
      <c r="Q36" s="78"/>
      <c r="R36" s="80"/>
      <c r="S36" s="189"/>
      <c r="T36" s="190"/>
      <c r="U36" s="78"/>
      <c r="V36" s="80"/>
      <c r="W36" s="189"/>
      <c r="X36" s="190"/>
      <c r="Y36" s="78"/>
      <c r="Z36" s="80"/>
      <c r="AA36" s="189"/>
      <c r="AB36" s="190"/>
      <c r="AC36" s="78"/>
      <c r="AD36" s="80"/>
      <c r="AE36" s="189"/>
      <c r="AF36" s="190"/>
      <c r="AG36" s="78"/>
      <c r="AH36" s="80"/>
      <c r="AI36" s="78"/>
      <c r="AJ36" s="80"/>
      <c r="AK36" s="189"/>
      <c r="AL36" s="190"/>
      <c r="AM36" s="78"/>
      <c r="AN36" s="80"/>
      <c r="AO36" s="189"/>
      <c r="AP36" s="190"/>
      <c r="AQ36" s="78"/>
      <c r="AR36" s="80"/>
      <c r="AS36" s="189"/>
      <c r="AT36" s="190"/>
      <c r="AU36" s="78"/>
      <c r="AV36" s="80"/>
      <c r="AW36" s="189"/>
      <c r="AX36" s="190"/>
      <c r="AY36" s="23"/>
      <c r="AZ36" s="23"/>
      <c r="BA36" s="23"/>
    </row>
    <row r="37" spans="1:53" s="44" customFormat="1" ht="22" customHeight="1" x14ac:dyDescent="0.2">
      <c r="A37" s="41">
        <f>'ALS 10 BAZAR'!A37</f>
        <v>0</v>
      </c>
      <c r="B37" s="78">
        <f>'ALS 10 BAZAR'!B37:E37</f>
        <v>0</v>
      </c>
      <c r="C37" s="79"/>
      <c r="D37" s="79"/>
      <c r="E37" s="80"/>
      <c r="F37" s="42">
        <f>'ALS 10 BAZAR'!F37</f>
        <v>0</v>
      </c>
      <c r="G37" s="43">
        <f>'ALS 10 BAZAR'!G37</f>
        <v>0</v>
      </c>
      <c r="H37" s="39">
        <f t="shared" si="1"/>
        <v>0</v>
      </c>
      <c r="I37" s="39"/>
      <c r="J37" s="47"/>
      <c r="K37" s="189"/>
      <c r="L37" s="190"/>
      <c r="M37" s="78"/>
      <c r="N37" s="80"/>
      <c r="O37" s="189"/>
      <c r="P37" s="190"/>
      <c r="Q37" s="78"/>
      <c r="R37" s="80"/>
      <c r="S37" s="189"/>
      <c r="T37" s="190"/>
      <c r="U37" s="78"/>
      <c r="V37" s="80"/>
      <c r="W37" s="189"/>
      <c r="X37" s="190"/>
      <c r="Y37" s="78"/>
      <c r="Z37" s="80"/>
      <c r="AA37" s="189"/>
      <c r="AB37" s="190"/>
      <c r="AC37" s="78"/>
      <c r="AD37" s="80"/>
      <c r="AE37" s="189"/>
      <c r="AF37" s="190"/>
      <c r="AG37" s="78"/>
      <c r="AH37" s="80"/>
      <c r="AI37" s="78"/>
      <c r="AJ37" s="80"/>
      <c r="AK37" s="189"/>
      <c r="AL37" s="190"/>
      <c r="AM37" s="78"/>
      <c r="AN37" s="80"/>
      <c r="AO37" s="189"/>
      <c r="AP37" s="190"/>
      <c r="AQ37" s="78"/>
      <c r="AR37" s="80"/>
      <c r="AS37" s="189"/>
      <c r="AT37" s="190"/>
      <c r="AU37" s="78"/>
      <c r="AV37" s="80"/>
      <c r="AW37" s="189"/>
      <c r="AX37" s="190"/>
      <c r="AY37" s="23"/>
      <c r="AZ37" s="23"/>
      <c r="BA37" s="23"/>
    </row>
    <row r="38" spans="1:53" s="44" customFormat="1" ht="22" customHeight="1" x14ac:dyDescent="0.2">
      <c r="A38" s="41">
        <f>'ALS 10 BAZAR'!A38</f>
        <v>0</v>
      </c>
      <c r="B38" s="78">
        <f>'ALS 10 BAZAR'!B38:E38</f>
        <v>0</v>
      </c>
      <c r="C38" s="79"/>
      <c r="D38" s="79"/>
      <c r="E38" s="80"/>
      <c r="F38" s="42">
        <f>'ALS 10 BAZAR'!F38</f>
        <v>0</v>
      </c>
      <c r="G38" s="43">
        <f>'ALS 10 BAZAR'!G38</f>
        <v>0</v>
      </c>
      <c r="H38" s="39">
        <f t="shared" si="1"/>
        <v>0</v>
      </c>
      <c r="I38" s="39"/>
      <c r="J38" s="47"/>
      <c r="K38" s="189"/>
      <c r="L38" s="190"/>
      <c r="M38" s="78"/>
      <c r="N38" s="80"/>
      <c r="O38" s="189"/>
      <c r="P38" s="190"/>
      <c r="Q38" s="78"/>
      <c r="R38" s="80"/>
      <c r="S38" s="189"/>
      <c r="T38" s="190"/>
      <c r="U38" s="78"/>
      <c r="V38" s="80"/>
      <c r="W38" s="189"/>
      <c r="X38" s="190"/>
      <c r="Y38" s="78"/>
      <c r="Z38" s="80"/>
      <c r="AA38" s="189"/>
      <c r="AB38" s="190"/>
      <c r="AC38" s="78"/>
      <c r="AD38" s="80"/>
      <c r="AE38" s="189"/>
      <c r="AF38" s="190"/>
      <c r="AG38" s="78"/>
      <c r="AH38" s="80"/>
      <c r="AI38" s="78"/>
      <c r="AJ38" s="80"/>
      <c r="AK38" s="189"/>
      <c r="AL38" s="190"/>
      <c r="AM38" s="78"/>
      <c r="AN38" s="80"/>
      <c r="AO38" s="189"/>
      <c r="AP38" s="190"/>
      <c r="AQ38" s="78"/>
      <c r="AR38" s="80"/>
      <c r="AS38" s="189"/>
      <c r="AT38" s="190"/>
      <c r="AU38" s="78"/>
      <c r="AV38" s="80"/>
      <c r="AW38" s="189"/>
      <c r="AX38" s="190"/>
      <c r="AY38" s="23"/>
      <c r="AZ38" s="23"/>
      <c r="BA38" s="23"/>
    </row>
    <row r="39" spans="1:53" s="44" customFormat="1" ht="22" customHeight="1" x14ac:dyDescent="0.2">
      <c r="A39" s="41">
        <f>'ALS 10 BAZAR'!A39</f>
        <v>0</v>
      </c>
      <c r="B39" s="78">
        <f>'ALS 10 BAZAR'!B39:E39</f>
        <v>0</v>
      </c>
      <c r="C39" s="79"/>
      <c r="D39" s="79"/>
      <c r="E39" s="80"/>
      <c r="F39" s="42">
        <f>'ALS 10 BAZAR'!F39</f>
        <v>0</v>
      </c>
      <c r="G39" s="43">
        <f>'ALS 10 BAZAR'!G39</f>
        <v>0</v>
      </c>
      <c r="H39" s="39">
        <f t="shared" si="1"/>
        <v>0</v>
      </c>
      <c r="I39" s="39"/>
      <c r="J39" s="47"/>
      <c r="K39" s="189"/>
      <c r="L39" s="190"/>
      <c r="M39" s="78"/>
      <c r="N39" s="80"/>
      <c r="O39" s="189"/>
      <c r="P39" s="190"/>
      <c r="Q39" s="78"/>
      <c r="R39" s="80"/>
      <c r="S39" s="189"/>
      <c r="T39" s="190"/>
      <c r="U39" s="78"/>
      <c r="V39" s="80"/>
      <c r="W39" s="189"/>
      <c r="X39" s="190"/>
      <c r="Y39" s="78"/>
      <c r="Z39" s="80"/>
      <c r="AA39" s="189"/>
      <c r="AB39" s="190"/>
      <c r="AC39" s="78"/>
      <c r="AD39" s="80"/>
      <c r="AE39" s="189"/>
      <c r="AF39" s="190"/>
      <c r="AG39" s="78"/>
      <c r="AH39" s="80"/>
      <c r="AI39" s="78"/>
      <c r="AJ39" s="80"/>
      <c r="AK39" s="189"/>
      <c r="AL39" s="190"/>
      <c r="AM39" s="78"/>
      <c r="AN39" s="80"/>
      <c r="AO39" s="189"/>
      <c r="AP39" s="190"/>
      <c r="AQ39" s="78"/>
      <c r="AR39" s="80"/>
      <c r="AS39" s="189"/>
      <c r="AT39" s="190"/>
      <c r="AU39" s="78"/>
      <c r="AV39" s="80"/>
      <c r="AW39" s="189"/>
      <c r="AX39" s="190"/>
      <c r="AY39" s="23"/>
      <c r="AZ39" s="23"/>
      <c r="BA39" s="23"/>
    </row>
    <row r="40" spans="1:53" s="44" customFormat="1" ht="22" customHeight="1" x14ac:dyDescent="0.2">
      <c r="A40" s="41">
        <f>'ALS 10 BAZAR'!A40</f>
        <v>0</v>
      </c>
      <c r="B40" s="78">
        <f>'ALS 10 BAZAR'!B40:E40</f>
        <v>0</v>
      </c>
      <c r="C40" s="79"/>
      <c r="D40" s="79"/>
      <c r="E40" s="80"/>
      <c r="F40" s="42">
        <f>'ALS 10 BAZAR'!F40</f>
        <v>0</v>
      </c>
      <c r="G40" s="43">
        <f>'ALS 10 BAZAR'!G40</f>
        <v>0</v>
      </c>
      <c r="H40" s="39">
        <f t="shared" si="1"/>
        <v>0</v>
      </c>
      <c r="I40" s="39"/>
      <c r="J40" s="47"/>
      <c r="K40" s="189"/>
      <c r="L40" s="190"/>
      <c r="M40" s="78"/>
      <c r="N40" s="80"/>
      <c r="O40" s="189"/>
      <c r="P40" s="190"/>
      <c r="Q40" s="78"/>
      <c r="R40" s="80"/>
      <c r="S40" s="189"/>
      <c r="T40" s="190"/>
      <c r="U40" s="78"/>
      <c r="V40" s="80"/>
      <c r="W40" s="189"/>
      <c r="X40" s="190"/>
      <c r="Y40" s="78"/>
      <c r="Z40" s="80"/>
      <c r="AA40" s="189"/>
      <c r="AB40" s="190"/>
      <c r="AC40" s="78"/>
      <c r="AD40" s="80"/>
      <c r="AE40" s="189"/>
      <c r="AF40" s="190"/>
      <c r="AG40" s="78"/>
      <c r="AH40" s="80"/>
      <c r="AI40" s="78"/>
      <c r="AJ40" s="80"/>
      <c r="AK40" s="189"/>
      <c r="AL40" s="190"/>
      <c r="AM40" s="78"/>
      <c r="AN40" s="80"/>
      <c r="AO40" s="189"/>
      <c r="AP40" s="190"/>
      <c r="AQ40" s="78"/>
      <c r="AR40" s="80"/>
      <c r="AS40" s="189"/>
      <c r="AT40" s="190"/>
      <c r="AU40" s="78"/>
      <c r="AV40" s="80"/>
      <c r="AW40" s="189"/>
      <c r="AX40" s="190"/>
      <c r="AY40" s="23"/>
      <c r="AZ40" s="23"/>
      <c r="BA40" s="23"/>
    </row>
    <row r="41" spans="1:53" s="44" customFormat="1" ht="22" customHeight="1" x14ac:dyDescent="0.2">
      <c r="A41" s="41">
        <f>'ALS 10 BAZAR'!A41</f>
        <v>0</v>
      </c>
      <c r="B41" s="78">
        <f>'ALS 10 BAZAR'!B41:E41</f>
        <v>0</v>
      </c>
      <c r="C41" s="79"/>
      <c r="D41" s="79"/>
      <c r="E41" s="80"/>
      <c r="F41" s="42">
        <f>'ALS 10 BAZAR'!F41</f>
        <v>0</v>
      </c>
      <c r="G41" s="43">
        <f>'ALS 10 BAZAR'!G41</f>
        <v>0</v>
      </c>
      <c r="H41" s="39">
        <f t="shared" si="1"/>
        <v>0</v>
      </c>
      <c r="I41" s="39"/>
      <c r="J41" s="47"/>
      <c r="K41" s="189"/>
      <c r="L41" s="190"/>
      <c r="M41" s="78"/>
      <c r="N41" s="80"/>
      <c r="O41" s="189"/>
      <c r="P41" s="190"/>
      <c r="Q41" s="78"/>
      <c r="R41" s="80"/>
      <c r="S41" s="189"/>
      <c r="T41" s="190"/>
      <c r="U41" s="78"/>
      <c r="V41" s="80"/>
      <c r="W41" s="189"/>
      <c r="X41" s="190"/>
      <c r="Y41" s="78"/>
      <c r="Z41" s="80"/>
      <c r="AA41" s="189"/>
      <c r="AB41" s="190"/>
      <c r="AC41" s="78"/>
      <c r="AD41" s="80"/>
      <c r="AE41" s="189"/>
      <c r="AF41" s="190"/>
      <c r="AG41" s="78"/>
      <c r="AH41" s="80"/>
      <c r="AI41" s="78"/>
      <c r="AJ41" s="80"/>
      <c r="AK41" s="189"/>
      <c r="AL41" s="190"/>
      <c r="AM41" s="78"/>
      <c r="AN41" s="80"/>
      <c r="AO41" s="189"/>
      <c r="AP41" s="190"/>
      <c r="AQ41" s="78"/>
      <c r="AR41" s="80"/>
      <c r="AS41" s="189"/>
      <c r="AT41" s="190"/>
      <c r="AU41" s="78"/>
      <c r="AV41" s="80"/>
      <c r="AW41" s="189"/>
      <c r="AX41" s="190"/>
      <c r="AY41" s="23"/>
      <c r="AZ41" s="23"/>
      <c r="BA41" s="23"/>
    </row>
    <row r="42" spans="1:53" s="44" customFormat="1" ht="22" customHeight="1" x14ac:dyDescent="0.2">
      <c r="A42" s="41">
        <f>'ALS 10 BAZAR'!A42</f>
        <v>0</v>
      </c>
      <c r="B42" s="78">
        <f>'ALS 10 BAZAR'!B42:E42</f>
        <v>0</v>
      </c>
      <c r="C42" s="79"/>
      <c r="D42" s="79"/>
      <c r="E42" s="80"/>
      <c r="F42" s="42">
        <f>'ALS 10 BAZAR'!F42</f>
        <v>0</v>
      </c>
      <c r="G42" s="43">
        <f>'ALS 10 BAZAR'!G42</f>
        <v>0</v>
      </c>
      <c r="H42" s="39">
        <f t="shared" si="1"/>
        <v>0</v>
      </c>
      <c r="I42" s="39"/>
      <c r="J42" s="47"/>
      <c r="K42" s="189"/>
      <c r="L42" s="190"/>
      <c r="M42" s="78"/>
      <c r="N42" s="80"/>
      <c r="O42" s="189"/>
      <c r="P42" s="190"/>
      <c r="Q42" s="78"/>
      <c r="R42" s="80"/>
      <c r="S42" s="189"/>
      <c r="T42" s="190"/>
      <c r="U42" s="78"/>
      <c r="V42" s="80"/>
      <c r="W42" s="189"/>
      <c r="X42" s="190"/>
      <c r="Y42" s="78"/>
      <c r="Z42" s="80"/>
      <c r="AA42" s="189"/>
      <c r="AB42" s="190"/>
      <c r="AC42" s="78"/>
      <c r="AD42" s="80"/>
      <c r="AE42" s="189"/>
      <c r="AF42" s="190"/>
      <c r="AG42" s="78"/>
      <c r="AH42" s="80"/>
      <c r="AI42" s="78"/>
      <c r="AJ42" s="80"/>
      <c r="AK42" s="189"/>
      <c r="AL42" s="190"/>
      <c r="AM42" s="78"/>
      <c r="AN42" s="80"/>
      <c r="AO42" s="189"/>
      <c r="AP42" s="190"/>
      <c r="AQ42" s="78"/>
      <c r="AR42" s="80"/>
      <c r="AS42" s="189"/>
      <c r="AT42" s="190"/>
      <c r="AU42" s="78"/>
      <c r="AV42" s="80"/>
      <c r="AW42" s="189"/>
      <c r="AX42" s="190"/>
      <c r="AY42" s="23"/>
      <c r="AZ42" s="23"/>
      <c r="BA42" s="23"/>
    </row>
    <row r="43" spans="1:53" s="44" customFormat="1" ht="22" customHeight="1" x14ac:dyDescent="0.2">
      <c r="A43" s="41">
        <f>'ALS 10 BAZAR'!A43</f>
        <v>0</v>
      </c>
      <c r="B43" s="78">
        <f>'ALS 10 BAZAR'!B43:E43</f>
        <v>0</v>
      </c>
      <c r="C43" s="79"/>
      <c r="D43" s="79"/>
      <c r="E43" s="80"/>
      <c r="F43" s="42">
        <f>'ALS 10 BAZAR'!F43</f>
        <v>0</v>
      </c>
      <c r="G43" s="43">
        <f>'ALS 10 BAZAR'!G43</f>
        <v>0</v>
      </c>
      <c r="H43" s="39">
        <f t="shared" si="1"/>
        <v>0</v>
      </c>
      <c r="I43" s="39"/>
      <c r="J43" s="47"/>
      <c r="K43" s="189"/>
      <c r="L43" s="190"/>
      <c r="M43" s="78"/>
      <c r="N43" s="80"/>
      <c r="O43" s="189"/>
      <c r="P43" s="190"/>
      <c r="Q43" s="78"/>
      <c r="R43" s="80"/>
      <c r="S43" s="189"/>
      <c r="T43" s="190"/>
      <c r="U43" s="78"/>
      <c r="V43" s="80"/>
      <c r="W43" s="189"/>
      <c r="X43" s="190"/>
      <c r="Y43" s="78"/>
      <c r="Z43" s="80"/>
      <c r="AA43" s="189"/>
      <c r="AB43" s="190"/>
      <c r="AC43" s="78"/>
      <c r="AD43" s="80"/>
      <c r="AE43" s="189"/>
      <c r="AF43" s="190"/>
      <c r="AG43" s="78"/>
      <c r="AH43" s="80"/>
      <c r="AI43" s="78"/>
      <c r="AJ43" s="80"/>
      <c r="AK43" s="189"/>
      <c r="AL43" s="190"/>
      <c r="AM43" s="78"/>
      <c r="AN43" s="80"/>
      <c r="AO43" s="189"/>
      <c r="AP43" s="190"/>
      <c r="AQ43" s="78"/>
      <c r="AR43" s="80"/>
      <c r="AS43" s="189"/>
      <c r="AT43" s="190"/>
      <c r="AU43" s="78"/>
      <c r="AV43" s="80"/>
      <c r="AW43" s="189"/>
      <c r="AX43" s="190"/>
      <c r="AY43" s="23"/>
      <c r="AZ43" s="23"/>
      <c r="BA43" s="23"/>
    </row>
    <row r="44" spans="1:53" s="44" customFormat="1" ht="22" customHeight="1" x14ac:dyDescent="0.2">
      <c r="A44" s="41">
        <f>'ALS 10 BAZAR'!A44</f>
        <v>0</v>
      </c>
      <c r="B44" s="78">
        <f>'ALS 10 BAZAR'!B44:E44</f>
        <v>0</v>
      </c>
      <c r="C44" s="79"/>
      <c r="D44" s="79"/>
      <c r="E44" s="80"/>
      <c r="F44" s="42">
        <f>'ALS 10 BAZAR'!F44</f>
        <v>0</v>
      </c>
      <c r="G44" s="43">
        <f>'ALS 10 BAZAR'!G44</f>
        <v>0</v>
      </c>
      <c r="H44" s="39">
        <f t="shared" si="1"/>
        <v>0</v>
      </c>
      <c r="I44" s="39"/>
      <c r="J44" s="47"/>
      <c r="K44" s="189"/>
      <c r="L44" s="190"/>
      <c r="M44" s="78"/>
      <c r="N44" s="80"/>
      <c r="O44" s="189"/>
      <c r="P44" s="190"/>
      <c r="Q44" s="78"/>
      <c r="R44" s="80"/>
      <c r="S44" s="189"/>
      <c r="T44" s="190"/>
      <c r="U44" s="78"/>
      <c r="V44" s="80"/>
      <c r="W44" s="189"/>
      <c r="X44" s="190"/>
      <c r="Y44" s="78"/>
      <c r="Z44" s="80"/>
      <c r="AA44" s="189"/>
      <c r="AB44" s="190"/>
      <c r="AC44" s="78"/>
      <c r="AD44" s="80"/>
      <c r="AE44" s="189"/>
      <c r="AF44" s="190"/>
      <c r="AG44" s="78"/>
      <c r="AH44" s="80"/>
      <c r="AI44" s="78"/>
      <c r="AJ44" s="80"/>
      <c r="AK44" s="189"/>
      <c r="AL44" s="190"/>
      <c r="AM44" s="78"/>
      <c r="AN44" s="80"/>
      <c r="AO44" s="189"/>
      <c r="AP44" s="190"/>
      <c r="AQ44" s="78"/>
      <c r="AR44" s="80"/>
      <c r="AS44" s="189"/>
      <c r="AT44" s="190"/>
      <c r="AU44" s="78"/>
      <c r="AV44" s="80"/>
      <c r="AW44" s="189"/>
      <c r="AX44" s="190"/>
      <c r="AY44" s="23"/>
      <c r="AZ44" s="23"/>
      <c r="BA44" s="23"/>
    </row>
    <row r="45" spans="1:53" s="44" customFormat="1" ht="22" customHeight="1" x14ac:dyDescent="0.2">
      <c r="A45" s="41">
        <f>'ALS 10 BAZAR'!A45</f>
        <v>0</v>
      </c>
      <c r="B45" s="78">
        <f>'ALS 10 BAZAR'!B45:E45</f>
        <v>0</v>
      </c>
      <c r="C45" s="79"/>
      <c r="D45" s="79"/>
      <c r="E45" s="80"/>
      <c r="F45" s="42">
        <f>'ALS 10 BAZAR'!F45</f>
        <v>0</v>
      </c>
      <c r="G45" s="43">
        <f>'ALS 10 BAZAR'!G45</f>
        <v>0</v>
      </c>
      <c r="H45" s="39">
        <f t="shared" si="1"/>
        <v>0</v>
      </c>
      <c r="I45" s="39"/>
      <c r="J45" s="47"/>
      <c r="K45" s="189"/>
      <c r="L45" s="190"/>
      <c r="M45" s="78"/>
      <c r="N45" s="80"/>
      <c r="O45" s="189"/>
      <c r="P45" s="190"/>
      <c r="Q45" s="78"/>
      <c r="R45" s="80"/>
      <c r="S45" s="189"/>
      <c r="T45" s="190"/>
      <c r="U45" s="78"/>
      <c r="V45" s="80"/>
      <c r="W45" s="189"/>
      <c r="X45" s="190"/>
      <c r="Y45" s="78"/>
      <c r="Z45" s="80"/>
      <c r="AA45" s="189"/>
      <c r="AB45" s="190"/>
      <c r="AC45" s="78"/>
      <c r="AD45" s="80"/>
      <c r="AE45" s="189"/>
      <c r="AF45" s="190"/>
      <c r="AG45" s="78"/>
      <c r="AH45" s="80"/>
      <c r="AI45" s="78"/>
      <c r="AJ45" s="80"/>
      <c r="AK45" s="189"/>
      <c r="AL45" s="190"/>
      <c r="AM45" s="78"/>
      <c r="AN45" s="80"/>
      <c r="AO45" s="189"/>
      <c r="AP45" s="190"/>
      <c r="AQ45" s="78"/>
      <c r="AR45" s="80"/>
      <c r="AS45" s="189"/>
      <c r="AT45" s="190"/>
      <c r="AU45" s="78"/>
      <c r="AV45" s="80"/>
      <c r="AW45" s="189"/>
      <c r="AX45" s="190"/>
      <c r="AY45" s="23"/>
      <c r="AZ45" s="23"/>
      <c r="BA45" s="23"/>
    </row>
    <row r="46" spans="1:53" s="44" customFormat="1" ht="22" customHeight="1" x14ac:dyDescent="0.2">
      <c r="A46" s="41">
        <f>'ALS 10 BAZAR'!A46</f>
        <v>0</v>
      </c>
      <c r="B46" s="78">
        <f>'ALS 10 BAZAR'!B46:E46</f>
        <v>0</v>
      </c>
      <c r="C46" s="79"/>
      <c r="D46" s="79"/>
      <c r="E46" s="80"/>
      <c r="F46" s="42">
        <f>'ALS 10 BAZAR'!F46</f>
        <v>0</v>
      </c>
      <c r="G46" s="43">
        <f>'ALS 10 BAZAR'!G46</f>
        <v>0</v>
      </c>
      <c r="H46" s="39">
        <f t="shared" si="1"/>
        <v>0</v>
      </c>
      <c r="I46" s="39"/>
      <c r="J46" s="47"/>
      <c r="K46" s="189"/>
      <c r="L46" s="190"/>
      <c r="M46" s="78"/>
      <c r="N46" s="80"/>
      <c r="O46" s="189"/>
      <c r="P46" s="190"/>
      <c r="Q46" s="78"/>
      <c r="R46" s="80"/>
      <c r="S46" s="189"/>
      <c r="T46" s="190"/>
      <c r="U46" s="78"/>
      <c r="V46" s="80"/>
      <c r="W46" s="189"/>
      <c r="X46" s="190"/>
      <c r="Y46" s="78"/>
      <c r="Z46" s="80"/>
      <c r="AA46" s="189"/>
      <c r="AB46" s="190"/>
      <c r="AC46" s="78"/>
      <c r="AD46" s="80"/>
      <c r="AE46" s="189"/>
      <c r="AF46" s="190"/>
      <c r="AG46" s="78"/>
      <c r="AH46" s="80"/>
      <c r="AI46" s="78"/>
      <c r="AJ46" s="80"/>
      <c r="AK46" s="189"/>
      <c r="AL46" s="190"/>
      <c r="AM46" s="78"/>
      <c r="AN46" s="80"/>
      <c r="AO46" s="189"/>
      <c r="AP46" s="190"/>
      <c r="AQ46" s="78"/>
      <c r="AR46" s="80"/>
      <c r="AS46" s="189"/>
      <c r="AT46" s="190"/>
      <c r="AU46" s="78"/>
      <c r="AV46" s="80"/>
      <c r="AW46" s="189"/>
      <c r="AX46" s="190"/>
      <c r="AY46" s="23"/>
      <c r="AZ46" s="23"/>
      <c r="BA46" s="23"/>
    </row>
    <row r="47" spans="1:53" s="44" customFormat="1" ht="22" customHeight="1" x14ac:dyDescent="0.2">
      <c r="A47" s="41">
        <f>'ALS 10 BAZAR'!A47</f>
        <v>0</v>
      </c>
      <c r="B47" s="78">
        <f>'ALS 10 BAZAR'!B47:E47</f>
        <v>0</v>
      </c>
      <c r="C47" s="79"/>
      <c r="D47" s="79"/>
      <c r="E47" s="80"/>
      <c r="F47" s="42">
        <f>'ALS 10 BAZAR'!F47</f>
        <v>0</v>
      </c>
      <c r="G47" s="43">
        <f>'ALS 10 BAZAR'!G47</f>
        <v>0</v>
      </c>
      <c r="H47" s="39">
        <f t="shared" si="1"/>
        <v>0</v>
      </c>
      <c r="I47" s="39"/>
      <c r="J47" s="47"/>
      <c r="K47" s="189"/>
      <c r="L47" s="190"/>
      <c r="M47" s="78"/>
      <c r="N47" s="80"/>
      <c r="O47" s="189"/>
      <c r="P47" s="190"/>
      <c r="Q47" s="78"/>
      <c r="R47" s="80"/>
      <c r="S47" s="189"/>
      <c r="T47" s="190"/>
      <c r="U47" s="78"/>
      <c r="V47" s="80"/>
      <c r="W47" s="189"/>
      <c r="X47" s="190"/>
      <c r="Y47" s="78"/>
      <c r="Z47" s="80"/>
      <c r="AA47" s="189"/>
      <c r="AB47" s="190"/>
      <c r="AC47" s="78"/>
      <c r="AD47" s="80"/>
      <c r="AE47" s="189"/>
      <c r="AF47" s="190"/>
      <c r="AG47" s="78"/>
      <c r="AH47" s="80"/>
      <c r="AI47" s="78"/>
      <c r="AJ47" s="80"/>
      <c r="AK47" s="189"/>
      <c r="AL47" s="190"/>
      <c r="AM47" s="78"/>
      <c r="AN47" s="80"/>
      <c r="AO47" s="189"/>
      <c r="AP47" s="190"/>
      <c r="AQ47" s="78"/>
      <c r="AR47" s="80"/>
      <c r="AS47" s="189"/>
      <c r="AT47" s="190"/>
      <c r="AU47" s="78"/>
      <c r="AV47" s="80"/>
      <c r="AW47" s="189"/>
      <c r="AX47" s="190"/>
      <c r="AY47" s="23"/>
      <c r="AZ47" s="23"/>
      <c r="BA47" s="23"/>
    </row>
    <row r="48" spans="1:53" s="44" customFormat="1" ht="22" customHeight="1" x14ac:dyDescent="0.2">
      <c r="A48" s="41">
        <f>'ALS 10 BAZAR'!A48</f>
        <v>0</v>
      </c>
      <c r="B48" s="78">
        <f>'ALS 10 BAZAR'!B48:E48</f>
        <v>0</v>
      </c>
      <c r="C48" s="79"/>
      <c r="D48" s="79"/>
      <c r="E48" s="80"/>
      <c r="F48" s="42">
        <f>'ALS 10 BAZAR'!F48</f>
        <v>0</v>
      </c>
      <c r="G48" s="43">
        <f>'ALS 10 BAZAR'!G48</f>
        <v>0</v>
      </c>
      <c r="H48" s="39">
        <f t="shared" si="1"/>
        <v>0</v>
      </c>
      <c r="I48" s="39"/>
      <c r="J48" s="47"/>
      <c r="K48" s="189"/>
      <c r="L48" s="190"/>
      <c r="M48" s="78"/>
      <c r="N48" s="80"/>
      <c r="O48" s="189"/>
      <c r="P48" s="190"/>
      <c r="Q48" s="78"/>
      <c r="R48" s="80"/>
      <c r="S48" s="189"/>
      <c r="T48" s="190"/>
      <c r="U48" s="78"/>
      <c r="V48" s="80"/>
      <c r="W48" s="189"/>
      <c r="X48" s="190"/>
      <c r="Y48" s="78"/>
      <c r="Z48" s="80"/>
      <c r="AA48" s="189"/>
      <c r="AB48" s="190"/>
      <c r="AC48" s="78"/>
      <c r="AD48" s="80"/>
      <c r="AE48" s="189"/>
      <c r="AF48" s="190"/>
      <c r="AG48" s="78"/>
      <c r="AH48" s="80"/>
      <c r="AI48" s="78"/>
      <c r="AJ48" s="80"/>
      <c r="AK48" s="189"/>
      <c r="AL48" s="190"/>
      <c r="AM48" s="78"/>
      <c r="AN48" s="80"/>
      <c r="AO48" s="189"/>
      <c r="AP48" s="190"/>
      <c r="AQ48" s="78"/>
      <c r="AR48" s="80"/>
      <c r="AS48" s="189"/>
      <c r="AT48" s="190"/>
      <c r="AU48" s="78"/>
      <c r="AV48" s="80"/>
      <c r="AW48" s="189"/>
      <c r="AX48" s="190"/>
      <c r="AY48" s="23"/>
      <c r="AZ48" s="23"/>
      <c r="BA48" s="23"/>
    </row>
    <row r="49" spans="1:53" s="44" customFormat="1" ht="22" customHeight="1" x14ac:dyDescent="0.2">
      <c r="A49" s="41">
        <f>'ALS 10 BAZAR'!A49</f>
        <v>0</v>
      </c>
      <c r="B49" s="78">
        <f>'ALS 10 BAZAR'!B49:E49</f>
        <v>0</v>
      </c>
      <c r="C49" s="79"/>
      <c r="D49" s="79"/>
      <c r="E49" s="80"/>
      <c r="F49" s="42">
        <f>'ALS 10 BAZAR'!F49</f>
        <v>0</v>
      </c>
      <c r="G49" s="43">
        <f>'ALS 10 BAZAR'!G49</f>
        <v>0</v>
      </c>
      <c r="H49" s="39">
        <f t="shared" si="1"/>
        <v>0</v>
      </c>
      <c r="I49" s="39"/>
      <c r="J49" s="47"/>
      <c r="K49" s="189"/>
      <c r="L49" s="190"/>
      <c r="M49" s="78"/>
      <c r="N49" s="80"/>
      <c r="O49" s="189"/>
      <c r="P49" s="190"/>
      <c r="Q49" s="78"/>
      <c r="R49" s="80"/>
      <c r="S49" s="189"/>
      <c r="T49" s="190"/>
      <c r="U49" s="78"/>
      <c r="V49" s="80"/>
      <c r="W49" s="189"/>
      <c r="X49" s="190"/>
      <c r="Y49" s="78"/>
      <c r="Z49" s="80"/>
      <c r="AA49" s="189"/>
      <c r="AB49" s="190"/>
      <c r="AC49" s="78"/>
      <c r="AD49" s="80"/>
      <c r="AE49" s="189"/>
      <c r="AF49" s="190"/>
      <c r="AG49" s="78"/>
      <c r="AH49" s="80"/>
      <c r="AI49" s="78"/>
      <c r="AJ49" s="80"/>
      <c r="AK49" s="189"/>
      <c r="AL49" s="190"/>
      <c r="AM49" s="78"/>
      <c r="AN49" s="80"/>
      <c r="AO49" s="189"/>
      <c r="AP49" s="190"/>
      <c r="AQ49" s="78"/>
      <c r="AR49" s="80"/>
      <c r="AS49" s="189"/>
      <c r="AT49" s="190"/>
      <c r="AU49" s="78"/>
      <c r="AV49" s="80"/>
      <c r="AW49" s="189"/>
      <c r="AX49" s="190"/>
      <c r="AY49" s="23"/>
      <c r="AZ49" s="23"/>
      <c r="BA49" s="23"/>
    </row>
    <row r="50" spans="1:53" s="44" customFormat="1" ht="22" customHeight="1" x14ac:dyDescent="0.2">
      <c r="A50" s="41">
        <f>'ALS 10 BAZAR'!A50</f>
        <v>0</v>
      </c>
      <c r="B50" s="78">
        <f>'ALS 10 BAZAR'!B50:E50</f>
        <v>0</v>
      </c>
      <c r="C50" s="79"/>
      <c r="D50" s="79"/>
      <c r="E50" s="80"/>
      <c r="F50" s="42">
        <f>'ALS 10 BAZAR'!F50</f>
        <v>0</v>
      </c>
      <c r="G50" s="43">
        <f>'ALS 10 BAZAR'!G50</f>
        <v>0</v>
      </c>
      <c r="H50" s="39">
        <f t="shared" si="1"/>
        <v>0</v>
      </c>
      <c r="I50" s="39"/>
      <c r="J50" s="47"/>
      <c r="K50" s="189"/>
      <c r="L50" s="190"/>
      <c r="M50" s="78"/>
      <c r="N50" s="80"/>
      <c r="O50" s="189"/>
      <c r="P50" s="190"/>
      <c r="Q50" s="78"/>
      <c r="R50" s="80"/>
      <c r="S50" s="189"/>
      <c r="T50" s="190"/>
      <c r="U50" s="78"/>
      <c r="V50" s="80"/>
      <c r="W50" s="189"/>
      <c r="X50" s="190"/>
      <c r="Y50" s="78"/>
      <c r="Z50" s="80"/>
      <c r="AA50" s="189"/>
      <c r="AB50" s="190"/>
      <c r="AC50" s="78"/>
      <c r="AD50" s="80"/>
      <c r="AE50" s="189"/>
      <c r="AF50" s="190"/>
      <c r="AG50" s="78"/>
      <c r="AH50" s="80"/>
      <c r="AI50" s="78"/>
      <c r="AJ50" s="80"/>
      <c r="AK50" s="189"/>
      <c r="AL50" s="190"/>
      <c r="AM50" s="78"/>
      <c r="AN50" s="80"/>
      <c r="AO50" s="189"/>
      <c r="AP50" s="190"/>
      <c r="AQ50" s="78"/>
      <c r="AR50" s="80"/>
      <c r="AS50" s="189"/>
      <c r="AT50" s="190"/>
      <c r="AU50" s="78"/>
      <c r="AV50" s="80"/>
      <c r="AW50" s="189"/>
      <c r="AX50" s="190"/>
      <c r="AY50" s="23"/>
      <c r="AZ50" s="23"/>
      <c r="BA50" s="23"/>
    </row>
    <row r="51" spans="1:53" s="44" customFormat="1" ht="22" customHeight="1" x14ac:dyDescent="0.2">
      <c r="A51" s="41">
        <f>'ALS 10 BAZAR'!A51</f>
        <v>0</v>
      </c>
      <c r="B51" s="78">
        <f>'ALS 10 BAZAR'!B51:E51</f>
        <v>0</v>
      </c>
      <c r="C51" s="79"/>
      <c r="D51" s="79"/>
      <c r="E51" s="80"/>
      <c r="F51" s="42">
        <f>'ALS 10 BAZAR'!F51</f>
        <v>0</v>
      </c>
      <c r="G51" s="43">
        <f>'ALS 10 BAZAR'!G51</f>
        <v>0</v>
      </c>
      <c r="H51" s="39">
        <f t="shared" si="1"/>
        <v>0</v>
      </c>
      <c r="I51" s="39"/>
      <c r="J51" s="47"/>
      <c r="K51" s="189"/>
      <c r="L51" s="190"/>
      <c r="M51" s="78"/>
      <c r="N51" s="80"/>
      <c r="O51" s="189"/>
      <c r="P51" s="190"/>
      <c r="Q51" s="78"/>
      <c r="R51" s="80"/>
      <c r="S51" s="189"/>
      <c r="T51" s="190"/>
      <c r="U51" s="78"/>
      <c r="V51" s="80"/>
      <c r="W51" s="189"/>
      <c r="X51" s="190"/>
      <c r="Y51" s="78"/>
      <c r="Z51" s="80"/>
      <c r="AA51" s="189"/>
      <c r="AB51" s="190"/>
      <c r="AC51" s="78"/>
      <c r="AD51" s="80"/>
      <c r="AE51" s="189"/>
      <c r="AF51" s="190"/>
      <c r="AG51" s="78"/>
      <c r="AH51" s="80"/>
      <c r="AI51" s="78"/>
      <c r="AJ51" s="80"/>
      <c r="AK51" s="189"/>
      <c r="AL51" s="190"/>
      <c r="AM51" s="78"/>
      <c r="AN51" s="80"/>
      <c r="AO51" s="189"/>
      <c r="AP51" s="190"/>
      <c r="AQ51" s="78"/>
      <c r="AR51" s="80"/>
      <c r="AS51" s="189"/>
      <c r="AT51" s="190"/>
      <c r="AU51" s="78"/>
      <c r="AV51" s="80"/>
      <c r="AW51" s="189"/>
      <c r="AX51" s="190"/>
      <c r="AY51" s="23"/>
      <c r="AZ51" s="23"/>
      <c r="BA51" s="23"/>
    </row>
    <row r="52" spans="1:53" s="44" customFormat="1" ht="22" customHeight="1" x14ac:dyDescent="0.2">
      <c r="A52" s="41">
        <f>'ALS 10 BAZAR'!A52</f>
        <v>0</v>
      </c>
      <c r="B52" s="78">
        <f>'ALS 10 BAZAR'!B52:E52</f>
        <v>0</v>
      </c>
      <c r="C52" s="79"/>
      <c r="D52" s="79"/>
      <c r="E52" s="80"/>
      <c r="F52" s="42">
        <f>'ALS 10 BAZAR'!F52</f>
        <v>0</v>
      </c>
      <c r="G52" s="43">
        <f>'ALS 10 BAZAR'!G52</f>
        <v>0</v>
      </c>
      <c r="H52" s="39">
        <f t="shared" si="1"/>
        <v>0</v>
      </c>
      <c r="I52" s="39"/>
      <c r="J52" s="47"/>
      <c r="K52" s="189"/>
      <c r="L52" s="190"/>
      <c r="M52" s="78"/>
      <c r="N52" s="80"/>
      <c r="O52" s="189"/>
      <c r="P52" s="190"/>
      <c r="Q52" s="78"/>
      <c r="R52" s="80"/>
      <c r="S52" s="189"/>
      <c r="T52" s="190"/>
      <c r="U52" s="78"/>
      <c r="V52" s="80"/>
      <c r="W52" s="189"/>
      <c r="X52" s="190"/>
      <c r="Y52" s="78"/>
      <c r="Z52" s="80"/>
      <c r="AA52" s="189"/>
      <c r="AB52" s="190"/>
      <c r="AC52" s="78"/>
      <c r="AD52" s="80"/>
      <c r="AE52" s="189"/>
      <c r="AF52" s="190"/>
      <c r="AG52" s="78"/>
      <c r="AH52" s="80"/>
      <c r="AI52" s="78"/>
      <c r="AJ52" s="80"/>
      <c r="AK52" s="189"/>
      <c r="AL52" s="190"/>
      <c r="AM52" s="78"/>
      <c r="AN52" s="80"/>
      <c r="AO52" s="189"/>
      <c r="AP52" s="190"/>
      <c r="AQ52" s="78"/>
      <c r="AR52" s="80"/>
      <c r="AS52" s="189"/>
      <c r="AT52" s="190"/>
      <c r="AU52" s="78"/>
      <c r="AV52" s="80"/>
      <c r="AW52" s="189"/>
      <c r="AX52" s="190"/>
      <c r="AY52" s="23"/>
      <c r="AZ52" s="23"/>
      <c r="BA52" s="23"/>
    </row>
    <row r="53" spans="1:53" s="44" customFormat="1" ht="22" customHeight="1" x14ac:dyDescent="0.2">
      <c r="A53" s="41">
        <f>'ALS 10 BAZAR'!A53</f>
        <v>0</v>
      </c>
      <c r="B53" s="78">
        <f>'ALS 10 BAZAR'!B53:E53</f>
        <v>0</v>
      </c>
      <c r="C53" s="79"/>
      <c r="D53" s="79"/>
      <c r="E53" s="80"/>
      <c r="F53" s="42">
        <f>'ALS 10 BAZAR'!F53</f>
        <v>0</v>
      </c>
      <c r="G53" s="43">
        <f>'ALS 10 BAZAR'!G53</f>
        <v>0</v>
      </c>
      <c r="H53" s="39">
        <f t="shared" si="1"/>
        <v>0</v>
      </c>
      <c r="I53" s="39"/>
      <c r="J53" s="47"/>
      <c r="K53" s="189"/>
      <c r="L53" s="190"/>
      <c r="M53" s="78"/>
      <c r="N53" s="80"/>
      <c r="O53" s="189"/>
      <c r="P53" s="190"/>
      <c r="Q53" s="78"/>
      <c r="R53" s="80"/>
      <c r="S53" s="189"/>
      <c r="T53" s="190"/>
      <c r="U53" s="78"/>
      <c r="V53" s="80"/>
      <c r="W53" s="189"/>
      <c r="X53" s="190"/>
      <c r="Y53" s="78"/>
      <c r="Z53" s="80"/>
      <c r="AA53" s="189"/>
      <c r="AB53" s="190"/>
      <c r="AC53" s="78"/>
      <c r="AD53" s="80"/>
      <c r="AE53" s="189"/>
      <c r="AF53" s="190"/>
      <c r="AG53" s="78"/>
      <c r="AH53" s="80"/>
      <c r="AI53" s="187"/>
      <c r="AJ53" s="188"/>
      <c r="AK53" s="189"/>
      <c r="AL53" s="190"/>
      <c r="AM53" s="78"/>
      <c r="AN53" s="80"/>
      <c r="AO53" s="189"/>
      <c r="AP53" s="190"/>
      <c r="AQ53" s="78"/>
      <c r="AR53" s="80"/>
      <c r="AS53" s="189"/>
      <c r="AT53" s="190"/>
      <c r="AU53" s="78"/>
      <c r="AV53" s="80"/>
      <c r="AW53" s="189"/>
      <c r="AX53" s="190"/>
      <c r="AY53" s="23"/>
      <c r="AZ53" s="23"/>
      <c r="BA53" s="23"/>
    </row>
    <row r="54" spans="1:53" s="44" customFormat="1" ht="22" customHeight="1" x14ac:dyDescent="0.2">
      <c r="A54" s="41">
        <f>'ALS 10 BAZAR'!A54</f>
        <v>0</v>
      </c>
      <c r="B54" s="78">
        <f>'ALS 10 BAZAR'!B54:E54</f>
        <v>0</v>
      </c>
      <c r="C54" s="79"/>
      <c r="D54" s="79"/>
      <c r="E54" s="80"/>
      <c r="F54" s="42">
        <f>'ALS 10 BAZAR'!F54</f>
        <v>0</v>
      </c>
      <c r="G54" s="43">
        <f>'ALS 10 BAZAR'!G54</f>
        <v>0</v>
      </c>
      <c r="H54" s="39">
        <f t="shared" si="1"/>
        <v>0</v>
      </c>
      <c r="I54" s="39"/>
      <c r="J54" s="47"/>
      <c r="K54" s="189"/>
      <c r="L54" s="190"/>
      <c r="M54" s="78"/>
      <c r="N54" s="80"/>
      <c r="O54" s="189"/>
      <c r="P54" s="190"/>
      <c r="Q54" s="78"/>
      <c r="R54" s="80"/>
      <c r="S54" s="189"/>
      <c r="T54" s="190"/>
      <c r="U54" s="78"/>
      <c r="V54" s="80"/>
      <c r="W54" s="189"/>
      <c r="X54" s="190"/>
      <c r="Y54" s="78"/>
      <c r="Z54" s="80"/>
      <c r="AA54" s="189"/>
      <c r="AB54" s="190"/>
      <c r="AC54" s="78"/>
      <c r="AD54" s="80"/>
      <c r="AE54" s="189"/>
      <c r="AF54" s="190"/>
      <c r="AG54" s="78"/>
      <c r="AH54" s="80"/>
      <c r="AI54" s="78"/>
      <c r="AJ54" s="80"/>
      <c r="AK54" s="189"/>
      <c r="AL54" s="190"/>
      <c r="AM54" s="78"/>
      <c r="AN54" s="80"/>
      <c r="AO54" s="189"/>
      <c r="AP54" s="190"/>
      <c r="AQ54" s="78"/>
      <c r="AR54" s="80"/>
      <c r="AS54" s="189"/>
      <c r="AT54" s="190"/>
      <c r="AU54" s="78"/>
      <c r="AV54" s="80"/>
      <c r="AW54" s="189"/>
      <c r="AX54" s="190"/>
      <c r="AY54" s="23"/>
      <c r="AZ54" s="23"/>
      <c r="BA54" s="23"/>
    </row>
    <row r="55" spans="1:53" s="44" customFormat="1" ht="22" customHeight="1" x14ac:dyDescent="0.2">
      <c r="A55" s="41">
        <f>'ALS 10 BAZAR'!A55</f>
        <v>0</v>
      </c>
      <c r="B55" s="78">
        <f>'ALS 10 BAZAR'!B55:E55</f>
        <v>0</v>
      </c>
      <c r="C55" s="79"/>
      <c r="D55" s="79"/>
      <c r="E55" s="80"/>
      <c r="F55" s="42">
        <f>'ALS 10 BAZAR'!F55</f>
        <v>0</v>
      </c>
      <c r="G55" s="43">
        <f>'ALS 10 BAZAR'!G55</f>
        <v>0</v>
      </c>
      <c r="H55" s="39">
        <f t="shared" si="1"/>
        <v>0</v>
      </c>
      <c r="I55" s="39"/>
      <c r="J55" s="47"/>
      <c r="K55" s="189"/>
      <c r="L55" s="190"/>
      <c r="M55" s="78"/>
      <c r="N55" s="80"/>
      <c r="O55" s="189"/>
      <c r="P55" s="190"/>
      <c r="Q55" s="78"/>
      <c r="R55" s="80"/>
      <c r="S55" s="189"/>
      <c r="T55" s="190"/>
      <c r="U55" s="78"/>
      <c r="V55" s="80"/>
      <c r="W55" s="189"/>
      <c r="X55" s="190"/>
      <c r="Y55" s="78"/>
      <c r="Z55" s="80"/>
      <c r="AA55" s="189"/>
      <c r="AB55" s="190"/>
      <c r="AC55" s="78"/>
      <c r="AD55" s="80"/>
      <c r="AE55" s="189"/>
      <c r="AF55" s="190"/>
      <c r="AG55" s="78"/>
      <c r="AH55" s="80"/>
      <c r="AI55" s="78"/>
      <c r="AJ55" s="80"/>
      <c r="AK55" s="189"/>
      <c r="AL55" s="190"/>
      <c r="AM55" s="78"/>
      <c r="AN55" s="80"/>
      <c r="AO55" s="189"/>
      <c r="AP55" s="190"/>
      <c r="AQ55" s="78"/>
      <c r="AR55" s="80"/>
      <c r="AS55" s="189"/>
      <c r="AT55" s="190"/>
      <c r="AU55" s="78"/>
      <c r="AV55" s="80"/>
      <c r="AW55" s="189"/>
      <c r="AX55" s="190"/>
      <c r="AY55" s="23"/>
      <c r="AZ55" s="23"/>
      <c r="BA55" s="23"/>
    </row>
    <row r="56" spans="1:53" s="44" customFormat="1" ht="22" customHeight="1" x14ac:dyDescent="0.2">
      <c r="A56" s="41">
        <f>'ALS 10 BAZAR'!A56</f>
        <v>0</v>
      </c>
      <c r="B56" s="78">
        <f>'ALS 10 BAZAR'!B56:E56</f>
        <v>0</v>
      </c>
      <c r="C56" s="79"/>
      <c r="D56" s="79"/>
      <c r="E56" s="80"/>
      <c r="F56" s="42">
        <f>'ALS 10 BAZAR'!F56</f>
        <v>0</v>
      </c>
      <c r="G56" s="43">
        <f>'ALS 10 BAZAR'!G56</f>
        <v>0</v>
      </c>
      <c r="H56" s="39">
        <f t="shared" si="1"/>
        <v>0</v>
      </c>
      <c r="I56" s="39"/>
      <c r="J56" s="47"/>
      <c r="K56" s="189"/>
      <c r="L56" s="190"/>
      <c r="M56" s="78"/>
      <c r="N56" s="80"/>
      <c r="O56" s="189"/>
      <c r="P56" s="190"/>
      <c r="Q56" s="78"/>
      <c r="R56" s="80"/>
      <c r="S56" s="189"/>
      <c r="T56" s="190"/>
      <c r="U56" s="78"/>
      <c r="V56" s="80"/>
      <c r="W56" s="189"/>
      <c r="X56" s="190"/>
      <c r="Y56" s="78"/>
      <c r="Z56" s="80"/>
      <c r="AA56" s="189"/>
      <c r="AB56" s="190"/>
      <c r="AC56" s="78"/>
      <c r="AD56" s="80"/>
      <c r="AE56" s="189"/>
      <c r="AF56" s="190"/>
      <c r="AG56" s="78"/>
      <c r="AH56" s="80"/>
      <c r="AI56" s="78"/>
      <c r="AJ56" s="80"/>
      <c r="AK56" s="189"/>
      <c r="AL56" s="190"/>
      <c r="AM56" s="78"/>
      <c r="AN56" s="80"/>
      <c r="AO56" s="189"/>
      <c r="AP56" s="190"/>
      <c r="AQ56" s="78"/>
      <c r="AR56" s="80"/>
      <c r="AS56" s="189"/>
      <c r="AT56" s="190"/>
      <c r="AU56" s="78"/>
      <c r="AV56" s="80"/>
      <c r="AW56" s="189"/>
      <c r="AX56" s="190"/>
      <c r="AY56" s="23"/>
      <c r="AZ56" s="23"/>
      <c r="BA56" s="23"/>
    </row>
    <row r="57" spans="1:53" s="44" customFormat="1" ht="22" customHeight="1" x14ac:dyDescent="0.2">
      <c r="A57" s="41">
        <f>'ALS 10 BAZAR'!A57</f>
        <v>0</v>
      </c>
      <c r="B57" s="78">
        <f>'ALS 10 BAZAR'!B57:E57</f>
        <v>0</v>
      </c>
      <c r="C57" s="79"/>
      <c r="D57" s="79"/>
      <c r="E57" s="80"/>
      <c r="F57" s="42">
        <f>'ALS 10 BAZAR'!F57</f>
        <v>0</v>
      </c>
      <c r="G57" s="43">
        <f>'ALS 10 BAZAR'!G57</f>
        <v>0</v>
      </c>
      <c r="H57" s="39">
        <f t="shared" si="1"/>
        <v>0</v>
      </c>
      <c r="I57" s="39"/>
      <c r="J57" s="47"/>
      <c r="K57" s="189"/>
      <c r="L57" s="190"/>
      <c r="M57" s="187"/>
      <c r="N57" s="188"/>
      <c r="O57" s="189"/>
      <c r="P57" s="190"/>
      <c r="Q57" s="78"/>
      <c r="R57" s="80"/>
      <c r="S57" s="189"/>
      <c r="T57" s="190"/>
      <c r="U57" s="78"/>
      <c r="V57" s="80"/>
      <c r="W57" s="189"/>
      <c r="X57" s="190"/>
      <c r="Y57" s="78"/>
      <c r="Z57" s="80"/>
      <c r="AA57" s="189"/>
      <c r="AB57" s="190"/>
      <c r="AC57" s="78"/>
      <c r="AD57" s="80"/>
      <c r="AE57" s="189"/>
      <c r="AF57" s="190"/>
      <c r="AG57" s="78"/>
      <c r="AH57" s="80"/>
      <c r="AI57" s="78"/>
      <c r="AJ57" s="80"/>
      <c r="AK57" s="189"/>
      <c r="AL57" s="190"/>
      <c r="AM57" s="78"/>
      <c r="AN57" s="80"/>
      <c r="AO57" s="189"/>
      <c r="AP57" s="190"/>
      <c r="AQ57" s="78"/>
      <c r="AR57" s="80"/>
      <c r="AS57" s="189"/>
      <c r="AT57" s="190"/>
      <c r="AU57" s="78"/>
      <c r="AV57" s="80"/>
      <c r="AW57" s="189"/>
      <c r="AX57" s="190"/>
      <c r="AY57" s="23"/>
      <c r="AZ57" s="23"/>
      <c r="BA57" s="23"/>
    </row>
    <row r="58" spans="1:53" s="44" customFormat="1" ht="22" customHeight="1" x14ac:dyDescent="0.2">
      <c r="A58" s="41">
        <f>'ALS 10 BAZAR'!A58</f>
        <v>0</v>
      </c>
      <c r="B58" s="78">
        <f>'ALS 10 BAZAR'!B58:E58</f>
        <v>0</v>
      </c>
      <c r="C58" s="79"/>
      <c r="D58" s="79"/>
      <c r="E58" s="80"/>
      <c r="F58" s="42">
        <f>'ALS 10 BAZAR'!F58</f>
        <v>0</v>
      </c>
      <c r="G58" s="43">
        <f>'ALS 10 BAZAR'!G58</f>
        <v>0</v>
      </c>
      <c r="H58" s="39">
        <f t="shared" si="1"/>
        <v>0</v>
      </c>
      <c r="I58" s="39"/>
      <c r="J58" s="47"/>
      <c r="K58" s="49"/>
      <c r="L58" s="50"/>
      <c r="M58" s="78"/>
      <c r="N58" s="80"/>
      <c r="O58" s="49"/>
      <c r="P58" s="50"/>
      <c r="Q58" s="78"/>
      <c r="R58" s="80"/>
      <c r="S58" s="49"/>
      <c r="T58" s="50"/>
      <c r="U58" s="78"/>
      <c r="V58" s="80"/>
      <c r="W58" s="49"/>
      <c r="X58" s="50"/>
      <c r="Y58" s="78"/>
      <c r="Z58" s="80"/>
      <c r="AA58" s="49"/>
      <c r="AB58" s="50"/>
      <c r="AC58" s="78"/>
      <c r="AD58" s="80"/>
      <c r="AE58" s="49"/>
      <c r="AF58" s="50"/>
      <c r="AG58" s="78"/>
      <c r="AH58" s="80"/>
      <c r="AI58" s="78"/>
      <c r="AJ58" s="80"/>
      <c r="AK58" s="49"/>
      <c r="AL58" s="50"/>
      <c r="AM58" s="78"/>
      <c r="AN58" s="80"/>
      <c r="AO58" s="49"/>
      <c r="AP58" s="50"/>
      <c r="AQ58" s="78"/>
      <c r="AR58" s="80"/>
      <c r="AS58" s="49"/>
      <c r="AT58" s="50"/>
      <c r="AU58" s="78"/>
      <c r="AV58" s="80"/>
      <c r="AW58" s="189"/>
      <c r="AX58" s="190"/>
      <c r="AY58" s="23"/>
      <c r="AZ58" s="23"/>
      <c r="BA58" s="23"/>
    </row>
    <row r="59" spans="1:53" s="44" customFormat="1" ht="22" customHeight="1" x14ac:dyDescent="0.2">
      <c r="A59" s="41">
        <f>'ALS 10 BAZAR'!A59</f>
        <v>0</v>
      </c>
      <c r="B59" s="78">
        <f>'ALS 10 BAZAR'!B59:E59</f>
        <v>0</v>
      </c>
      <c r="C59" s="79"/>
      <c r="D59" s="79"/>
      <c r="E59" s="80"/>
      <c r="F59" s="42">
        <f>'ALS 10 BAZAR'!F59</f>
        <v>0</v>
      </c>
      <c r="G59" s="43">
        <f>'ALS 10 BAZAR'!G59</f>
        <v>0</v>
      </c>
      <c r="H59" s="39">
        <f t="shared" si="1"/>
        <v>0</v>
      </c>
      <c r="I59" s="39"/>
      <c r="J59" s="47"/>
      <c r="K59" s="49"/>
      <c r="L59" s="50"/>
      <c r="M59" s="78"/>
      <c r="N59" s="80"/>
      <c r="O59" s="49"/>
      <c r="P59" s="50"/>
      <c r="Q59" s="78"/>
      <c r="R59" s="80"/>
      <c r="S59" s="49"/>
      <c r="T59" s="50"/>
      <c r="U59" s="78"/>
      <c r="V59" s="80"/>
      <c r="W59" s="49"/>
      <c r="X59" s="50"/>
      <c r="Y59" s="78"/>
      <c r="Z59" s="80"/>
      <c r="AA59" s="49"/>
      <c r="AB59" s="50"/>
      <c r="AC59" s="78"/>
      <c r="AD59" s="80"/>
      <c r="AE59" s="49"/>
      <c r="AF59" s="50"/>
      <c r="AG59" s="78"/>
      <c r="AH59" s="80"/>
      <c r="AI59" s="78"/>
      <c r="AJ59" s="80"/>
      <c r="AK59" s="49"/>
      <c r="AL59" s="50"/>
      <c r="AM59" s="78"/>
      <c r="AN59" s="80"/>
      <c r="AO59" s="49"/>
      <c r="AP59" s="50"/>
      <c r="AQ59" s="78"/>
      <c r="AR59" s="80"/>
      <c r="AS59" s="49"/>
      <c r="AT59" s="50"/>
      <c r="AU59" s="78"/>
      <c r="AV59" s="80"/>
      <c r="AW59" s="189"/>
      <c r="AX59" s="190"/>
      <c r="AY59" s="23"/>
      <c r="AZ59" s="23"/>
      <c r="BA59" s="23"/>
    </row>
    <row r="60" spans="1:53" s="44" customFormat="1" ht="22" customHeight="1" x14ac:dyDescent="0.2">
      <c r="A60" s="41">
        <f>'ALS 10 BAZAR'!A60</f>
        <v>0</v>
      </c>
      <c r="B60" s="78">
        <f>'ALS 10 BAZAR'!B60:E60</f>
        <v>0</v>
      </c>
      <c r="C60" s="79"/>
      <c r="D60" s="79"/>
      <c r="E60" s="80"/>
      <c r="F60" s="42">
        <f>'ALS 10 BAZAR'!F60</f>
        <v>0</v>
      </c>
      <c r="G60" s="43">
        <f>'ALS 10 BAZAR'!G60</f>
        <v>0</v>
      </c>
      <c r="H60" s="39">
        <f t="shared" si="1"/>
        <v>0</v>
      </c>
      <c r="I60" s="39"/>
      <c r="J60" s="47"/>
      <c r="K60" s="49"/>
      <c r="L60" s="50"/>
      <c r="M60" s="78"/>
      <c r="N60" s="80"/>
      <c r="O60" s="49"/>
      <c r="P60" s="50"/>
      <c r="Q60" s="78"/>
      <c r="R60" s="80"/>
      <c r="S60" s="49"/>
      <c r="T60" s="50"/>
      <c r="U60" s="78"/>
      <c r="V60" s="80"/>
      <c r="W60" s="49"/>
      <c r="X60" s="50"/>
      <c r="Y60" s="78"/>
      <c r="Z60" s="80"/>
      <c r="AA60" s="49"/>
      <c r="AB60" s="50"/>
      <c r="AC60" s="78"/>
      <c r="AD60" s="80"/>
      <c r="AE60" s="49"/>
      <c r="AF60" s="50"/>
      <c r="AG60" s="78"/>
      <c r="AH60" s="80"/>
      <c r="AI60" s="78"/>
      <c r="AJ60" s="80"/>
      <c r="AK60" s="49"/>
      <c r="AL60" s="50"/>
      <c r="AM60" s="78"/>
      <c r="AN60" s="80"/>
      <c r="AO60" s="49"/>
      <c r="AP60" s="50"/>
      <c r="AQ60" s="78"/>
      <c r="AR60" s="80"/>
      <c r="AS60" s="49"/>
      <c r="AT60" s="50"/>
      <c r="AU60" s="78"/>
      <c r="AV60" s="80"/>
      <c r="AW60" s="189"/>
      <c r="AX60" s="190"/>
      <c r="AY60" s="23"/>
      <c r="AZ60" s="23"/>
      <c r="BA60" s="23"/>
    </row>
    <row r="61" spans="1:53" s="44" customFormat="1" ht="22" customHeight="1" x14ac:dyDescent="0.2">
      <c r="A61" s="41">
        <f>'ALS 10 BAZAR'!A61</f>
        <v>0</v>
      </c>
      <c r="B61" s="78">
        <f>'ALS 10 BAZAR'!B61:E61</f>
        <v>0</v>
      </c>
      <c r="C61" s="79"/>
      <c r="D61" s="79"/>
      <c r="E61" s="80"/>
      <c r="F61" s="42">
        <f>'ALS 10 BAZAR'!F61</f>
        <v>0</v>
      </c>
      <c r="G61" s="43">
        <f>'ALS 10 BAZAR'!G61</f>
        <v>0</v>
      </c>
      <c r="H61" s="39">
        <f t="shared" si="1"/>
        <v>0</v>
      </c>
      <c r="I61" s="39"/>
      <c r="J61" s="47"/>
      <c r="K61" s="49"/>
      <c r="L61" s="50"/>
      <c r="M61" s="78"/>
      <c r="N61" s="80"/>
      <c r="O61" s="49"/>
      <c r="P61" s="50"/>
      <c r="Q61" s="78"/>
      <c r="R61" s="80"/>
      <c r="S61" s="49"/>
      <c r="T61" s="50"/>
      <c r="U61" s="78"/>
      <c r="V61" s="80"/>
      <c r="W61" s="49"/>
      <c r="X61" s="50"/>
      <c r="Y61" s="78"/>
      <c r="Z61" s="80"/>
      <c r="AA61" s="49"/>
      <c r="AB61" s="50"/>
      <c r="AC61" s="78"/>
      <c r="AD61" s="80"/>
      <c r="AE61" s="49"/>
      <c r="AF61" s="50"/>
      <c r="AG61" s="78"/>
      <c r="AH61" s="80"/>
      <c r="AI61" s="78"/>
      <c r="AJ61" s="80"/>
      <c r="AK61" s="49"/>
      <c r="AL61" s="50"/>
      <c r="AM61" s="78"/>
      <c r="AN61" s="80"/>
      <c r="AO61" s="49"/>
      <c r="AP61" s="50"/>
      <c r="AQ61" s="78"/>
      <c r="AR61" s="80"/>
      <c r="AS61" s="49"/>
      <c r="AT61" s="50"/>
      <c r="AU61" s="78"/>
      <c r="AV61" s="80"/>
      <c r="AW61" s="189"/>
      <c r="AX61" s="190"/>
      <c r="AY61" s="23"/>
      <c r="AZ61" s="23"/>
      <c r="BA61" s="23"/>
    </row>
    <row r="62" spans="1:53" s="44" customFormat="1" ht="22" customHeight="1" x14ac:dyDescent="0.2">
      <c r="A62" s="41">
        <f>'ALS 10 BAZAR'!A62</f>
        <v>0</v>
      </c>
      <c r="B62" s="78">
        <f>'ALS 10 BAZAR'!B62:E62</f>
        <v>0</v>
      </c>
      <c r="C62" s="79"/>
      <c r="D62" s="79"/>
      <c r="E62" s="80"/>
      <c r="F62" s="42">
        <f>'ALS 10 BAZAR'!F62</f>
        <v>0</v>
      </c>
      <c r="G62" s="43">
        <f>'ALS 10 BAZAR'!G62</f>
        <v>0</v>
      </c>
      <c r="H62" s="39">
        <f t="shared" si="1"/>
        <v>0</v>
      </c>
      <c r="I62" s="39"/>
      <c r="J62" s="47"/>
      <c r="K62" s="49"/>
      <c r="L62" s="50"/>
      <c r="M62" s="78"/>
      <c r="N62" s="80"/>
      <c r="O62" s="49"/>
      <c r="P62" s="50"/>
      <c r="Q62" s="78"/>
      <c r="R62" s="80"/>
      <c r="S62" s="49"/>
      <c r="T62" s="50"/>
      <c r="U62" s="78"/>
      <c r="V62" s="80"/>
      <c r="W62" s="49"/>
      <c r="X62" s="50"/>
      <c r="Y62" s="78"/>
      <c r="Z62" s="80"/>
      <c r="AA62" s="49"/>
      <c r="AB62" s="50"/>
      <c r="AC62" s="78"/>
      <c r="AD62" s="80"/>
      <c r="AE62" s="49"/>
      <c r="AF62" s="50"/>
      <c r="AG62" s="78"/>
      <c r="AH62" s="80"/>
      <c r="AI62" s="78"/>
      <c r="AJ62" s="80"/>
      <c r="AK62" s="49"/>
      <c r="AL62" s="50"/>
      <c r="AM62" s="78"/>
      <c r="AN62" s="80"/>
      <c r="AO62" s="49"/>
      <c r="AP62" s="50"/>
      <c r="AQ62" s="78"/>
      <c r="AR62" s="80"/>
      <c r="AS62" s="49"/>
      <c r="AT62" s="50"/>
      <c r="AU62" s="78"/>
      <c r="AV62" s="80"/>
      <c r="AW62" s="189"/>
      <c r="AX62" s="190"/>
      <c r="AY62" s="23"/>
      <c r="AZ62" s="23"/>
      <c r="BA62" s="23"/>
    </row>
    <row r="63" spans="1:53" s="44" customFormat="1" ht="22" customHeight="1" x14ac:dyDescent="0.2">
      <c r="A63" s="41">
        <f>'ALS 10 BAZAR'!A63</f>
        <v>0</v>
      </c>
      <c r="B63" s="78">
        <f>'ALS 10 BAZAR'!B63:E63</f>
        <v>0</v>
      </c>
      <c r="C63" s="79"/>
      <c r="D63" s="79"/>
      <c r="E63" s="80"/>
      <c r="F63" s="42">
        <f>'ALS 10 BAZAR'!F63</f>
        <v>0</v>
      </c>
      <c r="G63" s="43">
        <f>'ALS 10 BAZAR'!G63</f>
        <v>0</v>
      </c>
      <c r="H63" s="39">
        <f t="shared" si="1"/>
        <v>0</v>
      </c>
      <c r="I63" s="39"/>
      <c r="J63" s="47"/>
      <c r="K63" s="49"/>
      <c r="L63" s="50"/>
      <c r="M63" s="78"/>
      <c r="N63" s="80"/>
      <c r="O63" s="49"/>
      <c r="P63" s="50"/>
      <c r="Q63" s="78"/>
      <c r="R63" s="80"/>
      <c r="S63" s="49"/>
      <c r="T63" s="50"/>
      <c r="U63" s="78"/>
      <c r="V63" s="80"/>
      <c r="W63" s="49"/>
      <c r="X63" s="50"/>
      <c r="Y63" s="78"/>
      <c r="Z63" s="80"/>
      <c r="AA63" s="49"/>
      <c r="AB63" s="50"/>
      <c r="AC63" s="78"/>
      <c r="AD63" s="80"/>
      <c r="AE63" s="49"/>
      <c r="AF63" s="50"/>
      <c r="AG63" s="78"/>
      <c r="AH63" s="80"/>
      <c r="AI63" s="78"/>
      <c r="AJ63" s="80"/>
      <c r="AK63" s="49"/>
      <c r="AL63" s="50"/>
      <c r="AM63" s="78"/>
      <c r="AN63" s="80"/>
      <c r="AO63" s="49"/>
      <c r="AP63" s="50"/>
      <c r="AQ63" s="78"/>
      <c r="AR63" s="80"/>
      <c r="AS63" s="49"/>
      <c r="AT63" s="50"/>
      <c r="AU63" s="78"/>
      <c r="AV63" s="80"/>
      <c r="AW63" s="189"/>
      <c r="AX63" s="190"/>
      <c r="AY63" s="23"/>
      <c r="AZ63" s="23"/>
      <c r="BA63" s="23"/>
    </row>
    <row r="64" spans="1:53" s="44" customFormat="1" ht="22" customHeight="1" x14ac:dyDescent="0.2">
      <c r="A64" s="41">
        <f>'ALS 10 BAZAR'!A64</f>
        <v>0</v>
      </c>
      <c r="B64" s="78">
        <f>'ALS 10 BAZAR'!B64:E64</f>
        <v>0</v>
      </c>
      <c r="C64" s="79"/>
      <c r="D64" s="79"/>
      <c r="E64" s="80"/>
      <c r="F64" s="42">
        <f>'ALS 10 BAZAR'!F64</f>
        <v>0</v>
      </c>
      <c r="G64" s="43">
        <f>'ALS 10 BAZAR'!G64</f>
        <v>0</v>
      </c>
      <c r="H64" s="39">
        <f t="shared" si="1"/>
        <v>0</v>
      </c>
      <c r="I64" s="39"/>
      <c r="J64" s="47"/>
      <c r="K64" s="49"/>
      <c r="L64" s="50"/>
      <c r="M64" s="78"/>
      <c r="N64" s="80"/>
      <c r="O64" s="49"/>
      <c r="P64" s="50"/>
      <c r="Q64" s="78"/>
      <c r="R64" s="80"/>
      <c r="S64" s="49"/>
      <c r="T64" s="50"/>
      <c r="U64" s="78"/>
      <c r="V64" s="80"/>
      <c r="W64" s="49"/>
      <c r="X64" s="50"/>
      <c r="Y64" s="78"/>
      <c r="Z64" s="80"/>
      <c r="AA64" s="49"/>
      <c r="AB64" s="50"/>
      <c r="AC64" s="78"/>
      <c r="AD64" s="80"/>
      <c r="AE64" s="49"/>
      <c r="AF64" s="50"/>
      <c r="AG64" s="78"/>
      <c r="AH64" s="80"/>
      <c r="AI64" s="78"/>
      <c r="AJ64" s="80"/>
      <c r="AK64" s="49"/>
      <c r="AL64" s="50"/>
      <c r="AM64" s="78"/>
      <c r="AN64" s="80"/>
      <c r="AO64" s="49"/>
      <c r="AP64" s="50"/>
      <c r="AQ64" s="78"/>
      <c r="AR64" s="80"/>
      <c r="AS64" s="49"/>
      <c r="AT64" s="50"/>
      <c r="AU64" s="78"/>
      <c r="AV64" s="80"/>
      <c r="AW64" s="189"/>
      <c r="AX64" s="190"/>
      <c r="AY64" s="23"/>
      <c r="AZ64" s="23"/>
      <c r="BA64" s="23"/>
    </row>
    <row r="65" spans="1:53" s="44" customFormat="1" ht="22" customHeight="1" x14ac:dyDescent="0.2">
      <c r="A65" s="41">
        <f>'ALS 10 BAZAR'!A65</f>
        <v>0</v>
      </c>
      <c r="B65" s="78">
        <f>'ALS 10 BAZAR'!B65:E65</f>
        <v>0</v>
      </c>
      <c r="C65" s="79"/>
      <c r="D65" s="79"/>
      <c r="E65" s="80"/>
      <c r="F65" s="42">
        <f>'ALS 10 BAZAR'!F65</f>
        <v>0</v>
      </c>
      <c r="G65" s="43">
        <f>'ALS 10 BAZAR'!G65</f>
        <v>0</v>
      </c>
      <c r="H65" s="39">
        <f t="shared" si="1"/>
        <v>0</v>
      </c>
      <c r="I65" s="39"/>
      <c r="J65" s="47"/>
      <c r="K65" s="49"/>
      <c r="L65" s="50"/>
      <c r="M65" s="78"/>
      <c r="N65" s="80"/>
      <c r="O65" s="49"/>
      <c r="P65" s="50"/>
      <c r="Q65" s="78"/>
      <c r="R65" s="80"/>
      <c r="S65" s="49"/>
      <c r="T65" s="50"/>
      <c r="U65" s="78"/>
      <c r="V65" s="80"/>
      <c r="W65" s="49"/>
      <c r="X65" s="50"/>
      <c r="Y65" s="78"/>
      <c r="Z65" s="80"/>
      <c r="AA65" s="49"/>
      <c r="AB65" s="50"/>
      <c r="AC65" s="78"/>
      <c r="AD65" s="80"/>
      <c r="AE65" s="49"/>
      <c r="AF65" s="50"/>
      <c r="AG65" s="78"/>
      <c r="AH65" s="80"/>
      <c r="AI65" s="78"/>
      <c r="AJ65" s="80"/>
      <c r="AK65" s="49"/>
      <c r="AL65" s="50"/>
      <c r="AM65" s="78"/>
      <c r="AN65" s="80"/>
      <c r="AO65" s="49"/>
      <c r="AP65" s="50"/>
      <c r="AQ65" s="78"/>
      <c r="AR65" s="80"/>
      <c r="AS65" s="49"/>
      <c r="AT65" s="50"/>
      <c r="AU65" s="78"/>
      <c r="AV65" s="80"/>
      <c r="AW65" s="189"/>
      <c r="AX65" s="190"/>
      <c r="AY65" s="23"/>
      <c r="AZ65" s="23"/>
      <c r="BA65" s="23"/>
    </row>
    <row r="66" spans="1:53" s="44" customFormat="1" ht="22" customHeight="1" x14ac:dyDescent="0.2">
      <c r="A66" s="41">
        <f>'ALS 10 BAZAR'!A66</f>
        <v>0</v>
      </c>
      <c r="B66" s="78">
        <f>'ALS 10 BAZAR'!B66:E66</f>
        <v>0</v>
      </c>
      <c r="C66" s="79"/>
      <c r="D66" s="79"/>
      <c r="E66" s="80"/>
      <c r="F66" s="42">
        <f>'ALS 10 BAZAR'!F66</f>
        <v>0</v>
      </c>
      <c r="G66" s="43">
        <f>'ALS 10 BAZAR'!G66</f>
        <v>0</v>
      </c>
      <c r="H66" s="39">
        <f t="shared" si="1"/>
        <v>0</v>
      </c>
      <c r="I66" s="39"/>
      <c r="J66" s="47"/>
      <c r="K66" s="49"/>
      <c r="L66" s="50"/>
      <c r="M66" s="78"/>
      <c r="N66" s="80"/>
      <c r="O66" s="49"/>
      <c r="P66" s="50"/>
      <c r="Q66" s="78"/>
      <c r="R66" s="80"/>
      <c r="S66" s="49"/>
      <c r="T66" s="50"/>
      <c r="U66" s="78"/>
      <c r="V66" s="80"/>
      <c r="W66" s="49"/>
      <c r="X66" s="50"/>
      <c r="Y66" s="78"/>
      <c r="Z66" s="80"/>
      <c r="AA66" s="49"/>
      <c r="AB66" s="50"/>
      <c r="AC66" s="78"/>
      <c r="AD66" s="80"/>
      <c r="AE66" s="49"/>
      <c r="AF66" s="50"/>
      <c r="AG66" s="78"/>
      <c r="AH66" s="80"/>
      <c r="AI66" s="78"/>
      <c r="AJ66" s="80"/>
      <c r="AK66" s="49"/>
      <c r="AL66" s="50"/>
      <c r="AM66" s="78"/>
      <c r="AN66" s="80"/>
      <c r="AO66" s="49"/>
      <c r="AP66" s="50"/>
      <c r="AQ66" s="78"/>
      <c r="AR66" s="80"/>
      <c r="AS66" s="49"/>
      <c r="AT66" s="50"/>
      <c r="AU66" s="78"/>
      <c r="AV66" s="80"/>
      <c r="AW66" s="189"/>
      <c r="AX66" s="190"/>
      <c r="AY66" s="23"/>
      <c r="AZ66" s="23"/>
      <c r="BA66" s="23"/>
    </row>
    <row r="67" spans="1:53" s="44" customFormat="1" ht="22" customHeight="1" x14ac:dyDescent="0.2">
      <c r="A67" s="41">
        <f>'ALS 10 BAZAR'!A67</f>
        <v>0</v>
      </c>
      <c r="B67" s="78">
        <f>'ALS 10 BAZAR'!B67:E67</f>
        <v>0</v>
      </c>
      <c r="C67" s="79"/>
      <c r="D67" s="79"/>
      <c r="E67" s="80"/>
      <c r="F67" s="42">
        <f>'ALS 10 BAZAR'!F67</f>
        <v>0</v>
      </c>
      <c r="G67" s="43">
        <f>'ALS 10 BAZAR'!G67</f>
        <v>0</v>
      </c>
      <c r="H67" s="39">
        <f t="shared" si="1"/>
        <v>0</v>
      </c>
      <c r="I67" s="39"/>
      <c r="J67" s="47"/>
      <c r="K67" s="49"/>
      <c r="L67" s="50"/>
      <c r="M67" s="78"/>
      <c r="N67" s="80"/>
      <c r="O67" s="49"/>
      <c r="P67" s="50"/>
      <c r="Q67" s="78"/>
      <c r="R67" s="80"/>
      <c r="S67" s="49"/>
      <c r="T67" s="50"/>
      <c r="U67" s="78"/>
      <c r="V67" s="80"/>
      <c r="W67" s="49"/>
      <c r="X67" s="50"/>
      <c r="Y67" s="78"/>
      <c r="Z67" s="80"/>
      <c r="AA67" s="49"/>
      <c r="AB67" s="50"/>
      <c r="AC67" s="78"/>
      <c r="AD67" s="80"/>
      <c r="AE67" s="49"/>
      <c r="AF67" s="50"/>
      <c r="AG67" s="78"/>
      <c r="AH67" s="80"/>
      <c r="AI67" s="78"/>
      <c r="AJ67" s="80"/>
      <c r="AK67" s="49"/>
      <c r="AL67" s="50"/>
      <c r="AM67" s="78"/>
      <c r="AN67" s="80"/>
      <c r="AO67" s="49"/>
      <c r="AP67" s="50"/>
      <c r="AQ67" s="78"/>
      <c r="AR67" s="80"/>
      <c r="AS67" s="49"/>
      <c r="AT67" s="50"/>
      <c r="AU67" s="78"/>
      <c r="AV67" s="80"/>
      <c r="AW67" s="189"/>
      <c r="AX67" s="190"/>
      <c r="AY67" s="23"/>
      <c r="AZ67" s="23"/>
      <c r="BA67" s="23"/>
    </row>
    <row r="68" spans="1:53" s="44" customFormat="1" ht="22" customHeight="1" x14ac:dyDescent="0.2">
      <c r="A68" s="41">
        <f>'ALS 10 BAZAR'!A68</f>
        <v>0</v>
      </c>
      <c r="B68" s="78">
        <f>'ALS 10 BAZAR'!B68:E68</f>
        <v>0</v>
      </c>
      <c r="C68" s="79"/>
      <c r="D68" s="79"/>
      <c r="E68" s="80"/>
      <c r="F68" s="42">
        <f>'ALS 10 BAZAR'!F68</f>
        <v>0</v>
      </c>
      <c r="G68" s="43">
        <f>'ALS 10 BAZAR'!G68</f>
        <v>0</v>
      </c>
      <c r="H68" s="39">
        <f t="shared" si="1"/>
        <v>0</v>
      </c>
      <c r="I68" s="39"/>
      <c r="J68" s="47"/>
      <c r="K68" s="49"/>
      <c r="L68" s="50"/>
      <c r="M68" s="78"/>
      <c r="N68" s="80"/>
      <c r="O68" s="49"/>
      <c r="P68" s="50"/>
      <c r="Q68" s="78"/>
      <c r="R68" s="80"/>
      <c r="S68" s="49"/>
      <c r="T68" s="50"/>
      <c r="U68" s="78"/>
      <c r="V68" s="80"/>
      <c r="W68" s="49"/>
      <c r="X68" s="50"/>
      <c r="Y68" s="78"/>
      <c r="Z68" s="80"/>
      <c r="AA68" s="49"/>
      <c r="AB68" s="50"/>
      <c r="AC68" s="78"/>
      <c r="AD68" s="80"/>
      <c r="AE68" s="49"/>
      <c r="AF68" s="50"/>
      <c r="AG68" s="78"/>
      <c r="AH68" s="80"/>
      <c r="AI68" s="78"/>
      <c r="AJ68" s="80"/>
      <c r="AK68" s="49"/>
      <c r="AL68" s="50"/>
      <c r="AM68" s="78"/>
      <c r="AN68" s="80"/>
      <c r="AO68" s="49"/>
      <c r="AP68" s="50"/>
      <c r="AQ68" s="78"/>
      <c r="AR68" s="80"/>
      <c r="AS68" s="49"/>
      <c r="AT68" s="50"/>
      <c r="AU68" s="78"/>
      <c r="AV68" s="80"/>
      <c r="AW68" s="189"/>
      <c r="AX68" s="190"/>
      <c r="AY68" s="23"/>
      <c r="AZ68" s="23"/>
      <c r="BA68" s="23"/>
    </row>
    <row r="69" spans="1:53" s="44" customFormat="1" ht="22" customHeight="1" x14ac:dyDescent="0.2">
      <c r="A69" s="41">
        <f>'ALS 10 BAZAR'!A69</f>
        <v>0</v>
      </c>
      <c r="B69" s="78">
        <f>'ALS 10 BAZAR'!B69:E69</f>
        <v>0</v>
      </c>
      <c r="C69" s="79"/>
      <c r="D69" s="79"/>
      <c r="E69" s="80"/>
      <c r="F69" s="42">
        <f>'ALS 10 BAZAR'!F69</f>
        <v>0</v>
      </c>
      <c r="G69" s="43">
        <f>'ALS 10 BAZAR'!G69</f>
        <v>0</v>
      </c>
      <c r="H69" s="39">
        <f t="shared" si="1"/>
        <v>0</v>
      </c>
      <c r="I69" s="39"/>
      <c r="J69" s="47"/>
      <c r="K69" s="49"/>
      <c r="L69" s="50"/>
      <c r="M69" s="78"/>
      <c r="N69" s="80"/>
      <c r="O69" s="49"/>
      <c r="P69" s="50"/>
      <c r="Q69" s="78"/>
      <c r="R69" s="80"/>
      <c r="S69" s="49"/>
      <c r="T69" s="50"/>
      <c r="U69" s="78"/>
      <c r="V69" s="80"/>
      <c r="W69" s="49"/>
      <c r="X69" s="50"/>
      <c r="Y69" s="78"/>
      <c r="Z69" s="80"/>
      <c r="AA69" s="49"/>
      <c r="AB69" s="50"/>
      <c r="AC69" s="78"/>
      <c r="AD69" s="80"/>
      <c r="AE69" s="49"/>
      <c r="AF69" s="50"/>
      <c r="AG69" s="78"/>
      <c r="AH69" s="80"/>
      <c r="AI69" s="78"/>
      <c r="AJ69" s="80"/>
      <c r="AK69" s="49"/>
      <c r="AL69" s="50"/>
      <c r="AM69" s="78"/>
      <c r="AN69" s="80"/>
      <c r="AO69" s="49"/>
      <c r="AP69" s="50"/>
      <c r="AQ69" s="78"/>
      <c r="AR69" s="80"/>
      <c r="AS69" s="49"/>
      <c r="AT69" s="50"/>
      <c r="AU69" s="78"/>
      <c r="AV69" s="80"/>
      <c r="AW69" s="189"/>
      <c r="AX69" s="190"/>
      <c r="AY69" s="23"/>
      <c r="AZ69" s="23"/>
      <c r="BA69" s="23"/>
    </row>
    <row r="70" spans="1:53" s="44" customFormat="1" ht="22" customHeight="1" x14ac:dyDescent="0.2">
      <c r="A70" s="41">
        <f>'ALS 10 BAZAR'!A70</f>
        <v>0</v>
      </c>
      <c r="B70" s="78">
        <f>'ALS 10 BAZAR'!B70:E70</f>
        <v>0</v>
      </c>
      <c r="C70" s="79"/>
      <c r="D70" s="79"/>
      <c r="E70" s="80"/>
      <c r="F70" s="42">
        <f>'ALS 10 BAZAR'!F70</f>
        <v>0</v>
      </c>
      <c r="G70" s="43">
        <f>'ALS 10 BAZAR'!G70</f>
        <v>0</v>
      </c>
      <c r="H70" s="39">
        <f t="shared" si="1"/>
        <v>0</v>
      </c>
      <c r="I70" s="39"/>
      <c r="J70" s="47"/>
      <c r="K70" s="189"/>
      <c r="L70" s="190"/>
      <c r="M70" s="187"/>
      <c r="N70" s="188"/>
      <c r="O70" s="189"/>
      <c r="P70" s="190"/>
      <c r="Q70" s="78"/>
      <c r="R70" s="80"/>
      <c r="S70" s="189"/>
      <c r="T70" s="190"/>
      <c r="U70" s="78"/>
      <c r="V70" s="80"/>
      <c r="W70" s="189"/>
      <c r="X70" s="190"/>
      <c r="Y70" s="78"/>
      <c r="Z70" s="80"/>
      <c r="AA70" s="189"/>
      <c r="AB70" s="190"/>
      <c r="AC70" s="78"/>
      <c r="AD70" s="80"/>
      <c r="AE70" s="189"/>
      <c r="AF70" s="190"/>
      <c r="AG70" s="78"/>
      <c r="AH70" s="80"/>
      <c r="AI70" s="78"/>
      <c r="AJ70" s="80"/>
      <c r="AK70" s="189"/>
      <c r="AL70" s="190"/>
      <c r="AM70" s="78"/>
      <c r="AN70" s="80"/>
      <c r="AO70" s="189"/>
      <c r="AP70" s="190"/>
      <c r="AQ70" s="78"/>
      <c r="AR70" s="80"/>
      <c r="AS70" s="189"/>
      <c r="AT70" s="190"/>
      <c r="AU70" s="78"/>
      <c r="AV70" s="80"/>
      <c r="AW70" s="189"/>
      <c r="AX70" s="190"/>
      <c r="AY70" s="23"/>
      <c r="AZ70" s="23"/>
      <c r="BA70" s="23"/>
    </row>
    <row r="71" spans="1:53" s="44" customFormat="1" ht="22" customHeight="1" x14ac:dyDescent="0.2">
      <c r="A71" s="41" t="str">
        <f>'ALS 10 BAZAR'!A71</f>
        <v>CONFERENTE</v>
      </c>
      <c r="B71" s="78">
        <f>'ALS 10 BAZAR'!B71:E71</f>
        <v>0</v>
      </c>
      <c r="C71" s="79"/>
      <c r="D71" s="79"/>
      <c r="E71" s="80"/>
      <c r="F71" s="42">
        <f>'ALS 10 BAZAR'!F71</f>
        <v>0</v>
      </c>
      <c r="G71" s="43">
        <f>'ALS 10 BAZAR'!G71</f>
        <v>0</v>
      </c>
      <c r="H71" s="39">
        <f t="shared" si="1"/>
        <v>0</v>
      </c>
      <c r="I71" s="39"/>
      <c r="J71" s="47"/>
      <c r="K71" s="189"/>
      <c r="L71" s="190"/>
      <c r="M71" s="187"/>
      <c r="N71" s="188"/>
      <c r="O71" s="189"/>
      <c r="P71" s="190"/>
      <c r="Q71" s="78"/>
      <c r="R71" s="80"/>
      <c r="S71" s="189"/>
      <c r="T71" s="190"/>
      <c r="U71" s="78"/>
      <c r="V71" s="80"/>
      <c r="W71" s="189"/>
      <c r="X71" s="190"/>
      <c r="Y71" s="78"/>
      <c r="Z71" s="80"/>
      <c r="AA71" s="189"/>
      <c r="AB71" s="190"/>
      <c r="AC71" s="78"/>
      <c r="AD71" s="80"/>
      <c r="AE71" s="189"/>
      <c r="AF71" s="190"/>
      <c r="AG71" s="78"/>
      <c r="AH71" s="80"/>
      <c r="AI71" s="78"/>
      <c r="AJ71" s="80"/>
      <c r="AK71" s="189"/>
      <c r="AL71" s="190"/>
      <c r="AM71" s="78"/>
      <c r="AN71" s="80"/>
      <c r="AO71" s="189"/>
      <c r="AP71" s="190"/>
      <c r="AQ71" s="78"/>
      <c r="AR71" s="80"/>
      <c r="AS71" s="189"/>
      <c r="AT71" s="190"/>
      <c r="AU71" s="78"/>
      <c r="AV71" s="80"/>
      <c r="AW71" s="189"/>
      <c r="AX71" s="190"/>
      <c r="AY71" s="23"/>
      <c r="AZ71" s="23"/>
      <c r="BA71" s="23"/>
    </row>
    <row r="72" spans="1:53" s="44" customFormat="1" ht="22" customHeight="1" x14ac:dyDescent="0.2">
      <c r="A72" s="41">
        <f>'ALS 10 BAZAR'!A72</f>
        <v>0</v>
      </c>
      <c r="B72" s="78">
        <f>'ALS 10 BAZAR'!B72:E72</f>
        <v>0</v>
      </c>
      <c r="C72" s="79"/>
      <c r="D72" s="79"/>
      <c r="E72" s="80"/>
      <c r="F72" s="42">
        <f>'ALS 10 BAZAR'!F72</f>
        <v>0</v>
      </c>
      <c r="G72" s="43">
        <f>'ALS 10 BAZAR'!G72</f>
        <v>0</v>
      </c>
      <c r="H72" s="39">
        <f t="shared" si="1"/>
        <v>0</v>
      </c>
      <c r="I72" s="39"/>
      <c r="J72" s="47"/>
      <c r="K72" s="49"/>
      <c r="L72" s="50"/>
      <c r="M72" s="78"/>
      <c r="N72" s="80"/>
      <c r="O72" s="49"/>
      <c r="P72" s="50"/>
      <c r="Q72" s="78"/>
      <c r="R72" s="80"/>
      <c r="S72" s="49"/>
      <c r="T72" s="50"/>
      <c r="U72" s="78"/>
      <c r="V72" s="80"/>
      <c r="W72" s="49"/>
      <c r="X72" s="50"/>
      <c r="Y72" s="78"/>
      <c r="Z72" s="80"/>
      <c r="AA72" s="49"/>
      <c r="AB72" s="50"/>
      <c r="AC72" s="78"/>
      <c r="AD72" s="80"/>
      <c r="AE72" s="49"/>
      <c r="AF72" s="50"/>
      <c r="AG72" s="78"/>
      <c r="AH72" s="80"/>
      <c r="AI72" s="78"/>
      <c r="AJ72" s="80"/>
      <c r="AK72" s="49"/>
      <c r="AL72" s="50"/>
      <c r="AM72" s="78"/>
      <c r="AN72" s="80"/>
      <c r="AO72" s="49"/>
      <c r="AP72" s="50"/>
      <c r="AQ72" s="78"/>
      <c r="AR72" s="80"/>
      <c r="AS72" s="49"/>
      <c r="AT72" s="50"/>
      <c r="AU72" s="78"/>
      <c r="AV72" s="80"/>
      <c r="AW72" s="189"/>
      <c r="AX72" s="190"/>
      <c r="AY72" s="23"/>
      <c r="AZ72" s="23"/>
      <c r="BA72" s="23"/>
    </row>
    <row r="73" spans="1:53" s="44" customFormat="1" ht="22" customHeight="1" x14ac:dyDescent="0.2">
      <c r="A73" s="41" t="str">
        <f>'ALS 10 BAZAR'!A73</f>
        <v>POSSUI AVARIAS?</v>
      </c>
      <c r="B73" s="78" t="str">
        <f>'ALS 10 BAZAR'!B73:E73</f>
        <v>SIM</v>
      </c>
      <c r="C73" s="79"/>
      <c r="D73" s="79"/>
      <c r="E73" s="80"/>
      <c r="F73" s="42">
        <f>'ALS 10 BAZAR'!F73</f>
        <v>0</v>
      </c>
      <c r="G73" s="43">
        <f>'ALS 10 BAZAR'!G73</f>
        <v>0</v>
      </c>
      <c r="H73" s="39">
        <f t="shared" si="1"/>
        <v>0</v>
      </c>
      <c r="I73" s="39"/>
      <c r="J73" s="47"/>
      <c r="K73" s="49"/>
      <c r="L73" s="50"/>
      <c r="M73" s="78"/>
      <c r="N73" s="80"/>
      <c r="O73" s="49"/>
      <c r="P73" s="50"/>
      <c r="Q73" s="78"/>
      <c r="R73" s="80"/>
      <c r="S73" s="49"/>
      <c r="T73" s="50"/>
      <c r="U73" s="78"/>
      <c r="V73" s="80"/>
      <c r="W73" s="49"/>
      <c r="X73" s="50"/>
      <c r="Y73" s="78"/>
      <c r="Z73" s="80"/>
      <c r="AA73" s="49"/>
      <c r="AB73" s="50"/>
      <c r="AC73" s="78"/>
      <c r="AD73" s="80"/>
      <c r="AE73" s="49"/>
      <c r="AF73" s="50"/>
      <c r="AG73" s="78"/>
      <c r="AH73" s="80"/>
      <c r="AI73" s="78"/>
      <c r="AJ73" s="80"/>
      <c r="AK73" s="49"/>
      <c r="AL73" s="50"/>
      <c r="AM73" s="78"/>
      <c r="AN73" s="80"/>
      <c r="AO73" s="49"/>
      <c r="AP73" s="50"/>
      <c r="AQ73" s="78"/>
      <c r="AR73" s="80"/>
      <c r="AS73" s="49"/>
      <c r="AT73" s="50"/>
      <c r="AU73" s="78"/>
      <c r="AV73" s="80"/>
      <c r="AW73" s="189"/>
      <c r="AX73" s="190"/>
      <c r="AY73" s="23"/>
      <c r="AZ73" s="23"/>
      <c r="BA73" s="23"/>
    </row>
    <row r="74" spans="1:53" s="44" customFormat="1" ht="22" customHeight="1" x14ac:dyDescent="0.2">
      <c r="A74" s="41">
        <f>'ALS 10 BAZAR'!A74</f>
        <v>0</v>
      </c>
      <c r="B74" s="78">
        <f>'ALS 10 BAZAR'!B74:E74</f>
        <v>0</v>
      </c>
      <c r="C74" s="79"/>
      <c r="D74" s="79"/>
      <c r="E74" s="80"/>
      <c r="F74" s="42">
        <f>'ALS 10 BAZAR'!F74</f>
        <v>0</v>
      </c>
      <c r="G74" s="43">
        <f>'ALS 10 BAZAR'!G74</f>
        <v>0</v>
      </c>
      <c r="H74" s="39">
        <f t="shared" si="1"/>
        <v>0</v>
      </c>
      <c r="I74" s="39"/>
      <c r="J74" s="47"/>
      <c r="K74" s="49"/>
      <c r="L74" s="50"/>
      <c r="M74" s="78"/>
      <c r="N74" s="80"/>
      <c r="O74" s="49"/>
      <c r="P74" s="50"/>
      <c r="Q74" s="78"/>
      <c r="R74" s="80"/>
      <c r="S74" s="49"/>
      <c r="T74" s="50"/>
      <c r="U74" s="78"/>
      <c r="V74" s="80"/>
      <c r="W74" s="49"/>
      <c r="X74" s="50"/>
      <c r="Y74" s="78"/>
      <c r="Z74" s="80"/>
      <c r="AA74" s="49"/>
      <c r="AB74" s="50"/>
      <c r="AC74" s="78"/>
      <c r="AD74" s="80"/>
      <c r="AE74" s="49"/>
      <c r="AF74" s="50"/>
      <c r="AG74" s="78"/>
      <c r="AH74" s="80"/>
      <c r="AI74" s="78"/>
      <c r="AJ74" s="80"/>
      <c r="AK74" s="49"/>
      <c r="AL74" s="50"/>
      <c r="AM74" s="78"/>
      <c r="AN74" s="80"/>
      <c r="AO74" s="49"/>
      <c r="AP74" s="50"/>
      <c r="AQ74" s="78"/>
      <c r="AR74" s="80"/>
      <c r="AS74" s="49"/>
      <c r="AT74" s="50"/>
      <c r="AU74" s="78"/>
      <c r="AV74" s="80"/>
      <c r="AW74" s="189"/>
      <c r="AX74" s="190"/>
      <c r="AY74" s="23"/>
      <c r="AZ74" s="23"/>
      <c r="BA74" s="23"/>
    </row>
    <row r="75" spans="1:53" s="44" customFormat="1" ht="22" customHeight="1" x14ac:dyDescent="0.2">
      <c r="A75" s="41" t="str">
        <f>'ALS 10 BAZAR'!A75</f>
        <v>**SE POSSUIR AVARIAS APONTAR NO VERSO DA FOLHA</v>
      </c>
      <c r="B75" s="78">
        <f>'ALS 10 BAZAR'!B75:E75</f>
        <v>0</v>
      </c>
      <c r="C75" s="79"/>
      <c r="D75" s="79"/>
      <c r="E75" s="80"/>
      <c r="F75" s="42">
        <f>'ALS 10 BAZAR'!F75</f>
        <v>0</v>
      </c>
      <c r="G75" s="43">
        <f>'ALS 10 BAZAR'!G75</f>
        <v>0</v>
      </c>
      <c r="H75" s="39">
        <f t="shared" si="1"/>
        <v>0</v>
      </c>
      <c r="I75" s="39"/>
      <c r="J75" s="47"/>
      <c r="K75" s="49"/>
      <c r="L75" s="50"/>
      <c r="M75" s="78"/>
      <c r="N75" s="80"/>
      <c r="O75" s="49"/>
      <c r="P75" s="50"/>
      <c r="Q75" s="78"/>
      <c r="R75" s="80"/>
      <c r="S75" s="49"/>
      <c r="T75" s="50"/>
      <c r="U75" s="78"/>
      <c r="V75" s="80"/>
      <c r="W75" s="49"/>
      <c r="X75" s="50"/>
      <c r="Y75" s="78"/>
      <c r="Z75" s="80"/>
      <c r="AA75" s="49"/>
      <c r="AB75" s="50"/>
      <c r="AC75" s="78"/>
      <c r="AD75" s="80"/>
      <c r="AE75" s="49"/>
      <c r="AF75" s="50"/>
      <c r="AG75" s="78"/>
      <c r="AH75" s="80"/>
      <c r="AI75" s="78"/>
      <c r="AJ75" s="80"/>
      <c r="AK75" s="49"/>
      <c r="AL75" s="50"/>
      <c r="AM75" s="78"/>
      <c r="AN75" s="80"/>
      <c r="AO75" s="49"/>
      <c r="AP75" s="50"/>
      <c r="AQ75" s="78"/>
      <c r="AR75" s="80"/>
      <c r="AS75" s="49"/>
      <c r="AT75" s="50"/>
      <c r="AU75" s="78"/>
      <c r="AV75" s="80"/>
      <c r="AW75" s="189"/>
      <c r="AX75" s="190"/>
      <c r="AY75" s="23"/>
      <c r="AZ75" s="23"/>
      <c r="BA75" s="23"/>
    </row>
    <row r="76" spans="1:53" s="44" customFormat="1" ht="22" customHeight="1" x14ac:dyDescent="0.2">
      <c r="A76" s="41">
        <f>'ALS 10 BAZAR'!A76</f>
        <v>0</v>
      </c>
      <c r="B76" s="78">
        <f>'ALS 10 BAZAR'!B76:E76</f>
        <v>0</v>
      </c>
      <c r="C76" s="79"/>
      <c r="D76" s="79"/>
      <c r="E76" s="80"/>
      <c r="F76" s="42">
        <f>'ALS 10 BAZAR'!F76</f>
        <v>0</v>
      </c>
      <c r="G76" s="43">
        <f>'ALS 10 BAZAR'!G76</f>
        <v>480</v>
      </c>
      <c r="H76" s="39">
        <f t="shared" si="1"/>
        <v>0</v>
      </c>
      <c r="I76" s="39"/>
      <c r="J76" s="47"/>
      <c r="K76" s="49"/>
      <c r="L76" s="50"/>
      <c r="M76" s="78"/>
      <c r="N76" s="80"/>
      <c r="O76" s="49"/>
      <c r="P76" s="50"/>
      <c r="Q76" s="78"/>
      <c r="R76" s="80"/>
      <c r="S76" s="49"/>
      <c r="T76" s="50"/>
      <c r="U76" s="78"/>
      <c r="V76" s="80"/>
      <c r="W76" s="49"/>
      <c r="X76" s="50"/>
      <c r="Y76" s="78"/>
      <c r="Z76" s="80"/>
      <c r="AA76" s="49"/>
      <c r="AB76" s="50"/>
      <c r="AC76" s="78"/>
      <c r="AD76" s="80"/>
      <c r="AE76" s="49"/>
      <c r="AF76" s="50"/>
      <c r="AG76" s="78"/>
      <c r="AH76" s="80"/>
      <c r="AI76" s="78"/>
      <c r="AJ76" s="80"/>
      <c r="AK76" s="49"/>
      <c r="AL76" s="50"/>
      <c r="AM76" s="78"/>
      <c r="AN76" s="80"/>
      <c r="AO76" s="49"/>
      <c r="AP76" s="50"/>
      <c r="AQ76" s="78"/>
      <c r="AR76" s="80"/>
      <c r="AS76" s="49"/>
      <c r="AT76" s="50"/>
      <c r="AU76" s="78"/>
      <c r="AV76" s="80"/>
      <c r="AW76" s="189"/>
      <c r="AX76" s="190"/>
      <c r="AY76" s="23"/>
      <c r="AZ76" s="23"/>
      <c r="BA76" s="23"/>
    </row>
    <row r="77" spans="1:53" s="44" customFormat="1" ht="22" customHeight="1" x14ac:dyDescent="0.2">
      <c r="A77" s="41" t="str">
        <f>'ALS 10 BAZAR'!A77</f>
        <v>PREÇO MÉDIO</v>
      </c>
      <c r="B77" s="78">
        <f>'ALS 10 BAZAR'!B77:E77</f>
        <v>0</v>
      </c>
      <c r="C77" s="79"/>
      <c r="D77" s="79"/>
      <c r="E77" s="80"/>
      <c r="F77" s="42">
        <f>'ALS 10 BAZAR'!F77</f>
        <v>0</v>
      </c>
      <c r="G77" s="43">
        <f>'ALS 10 BAZAR'!G77</f>
        <v>0</v>
      </c>
      <c r="H77" s="39">
        <f t="shared" ref="H77:H90" si="2">F77*G77</f>
        <v>0</v>
      </c>
      <c r="I77" s="39"/>
      <c r="J77" s="47"/>
      <c r="K77" s="49"/>
      <c r="L77" s="50"/>
      <c r="M77" s="78"/>
      <c r="N77" s="80"/>
      <c r="O77" s="49"/>
      <c r="P77" s="50"/>
      <c r="Q77" s="78"/>
      <c r="R77" s="80"/>
      <c r="S77" s="49"/>
      <c r="T77" s="50"/>
      <c r="U77" s="78"/>
      <c r="V77" s="80"/>
      <c r="W77" s="49"/>
      <c r="X77" s="50"/>
      <c r="Y77" s="78"/>
      <c r="Z77" s="80"/>
      <c r="AA77" s="49"/>
      <c r="AB77" s="50"/>
      <c r="AC77" s="78"/>
      <c r="AD77" s="80"/>
      <c r="AE77" s="49"/>
      <c r="AF77" s="50"/>
      <c r="AG77" s="78"/>
      <c r="AH77" s="80"/>
      <c r="AI77" s="78"/>
      <c r="AJ77" s="80"/>
      <c r="AK77" s="49"/>
      <c r="AL77" s="50"/>
      <c r="AM77" s="78"/>
      <c r="AN77" s="80"/>
      <c r="AO77" s="49"/>
      <c r="AP77" s="50"/>
      <c r="AQ77" s="78"/>
      <c r="AR77" s="80"/>
      <c r="AS77" s="49"/>
      <c r="AT77" s="50"/>
      <c r="AU77" s="78"/>
      <c r="AV77" s="80"/>
      <c r="AW77" s="189"/>
      <c r="AX77" s="190"/>
      <c r="AY77" s="23"/>
      <c r="AZ77" s="23"/>
      <c r="BA77" s="23"/>
    </row>
    <row r="78" spans="1:53" s="44" customFormat="1" ht="22" customHeight="1" x14ac:dyDescent="0.2">
      <c r="A78" s="41">
        <f>'ALS 10 BAZAR'!A78</f>
        <v>0</v>
      </c>
      <c r="B78" s="78">
        <f>'ALS 10 BAZAR'!B78:E78</f>
        <v>0</v>
      </c>
      <c r="C78" s="79"/>
      <c r="D78" s="79"/>
      <c r="E78" s="80"/>
      <c r="F78" s="42">
        <f>'ALS 10 BAZAR'!F78</f>
        <v>0</v>
      </c>
      <c r="G78" s="43">
        <f>'ALS 10 BAZAR'!G78</f>
        <v>0</v>
      </c>
      <c r="H78" s="39">
        <f t="shared" si="2"/>
        <v>0</v>
      </c>
      <c r="I78" s="39"/>
      <c r="J78" s="47"/>
      <c r="K78" s="49"/>
      <c r="L78" s="50"/>
      <c r="M78" s="78"/>
      <c r="N78" s="80"/>
      <c r="O78" s="49"/>
      <c r="P78" s="50"/>
      <c r="Q78" s="78"/>
      <c r="R78" s="80"/>
      <c r="S78" s="49"/>
      <c r="T78" s="50"/>
      <c r="U78" s="78"/>
      <c r="V78" s="80"/>
      <c r="W78" s="49"/>
      <c r="X78" s="50"/>
      <c r="Y78" s="78"/>
      <c r="Z78" s="80"/>
      <c r="AA78" s="49"/>
      <c r="AB78" s="50"/>
      <c r="AC78" s="78"/>
      <c r="AD78" s="80"/>
      <c r="AE78" s="49"/>
      <c r="AF78" s="50"/>
      <c r="AG78" s="78"/>
      <c r="AH78" s="80"/>
      <c r="AI78" s="78"/>
      <c r="AJ78" s="80"/>
      <c r="AK78" s="49"/>
      <c r="AL78" s="50"/>
      <c r="AM78" s="78"/>
      <c r="AN78" s="80"/>
      <c r="AO78" s="49"/>
      <c r="AP78" s="50"/>
      <c r="AQ78" s="78"/>
      <c r="AR78" s="80"/>
      <c r="AS78" s="49"/>
      <c r="AT78" s="50"/>
      <c r="AU78" s="78"/>
      <c r="AV78" s="80"/>
      <c r="AW78" s="189"/>
      <c r="AX78" s="190"/>
      <c r="AY78" s="23"/>
      <c r="AZ78" s="23"/>
      <c r="BA78" s="23"/>
    </row>
    <row r="79" spans="1:53" s="44" customFormat="1" ht="22" customHeight="1" x14ac:dyDescent="0.2">
      <c r="A79" s="41">
        <f>'ALS 10 BAZAR'!A79</f>
        <v>0</v>
      </c>
      <c r="B79" s="78">
        <f>'ALS 10 BAZAR'!B79:E79</f>
        <v>0</v>
      </c>
      <c r="C79" s="79"/>
      <c r="D79" s="79"/>
      <c r="E79" s="80"/>
      <c r="F79" s="42">
        <f>'ALS 10 BAZAR'!F79</f>
        <v>0</v>
      </c>
      <c r="G79" s="43">
        <f>'ALS 10 BAZAR'!G79</f>
        <v>0</v>
      </c>
      <c r="H79" s="39">
        <f t="shared" si="2"/>
        <v>0</v>
      </c>
      <c r="I79" s="39"/>
      <c r="J79" s="47"/>
      <c r="K79" s="49"/>
      <c r="L79" s="50"/>
      <c r="M79" s="78"/>
      <c r="N79" s="80"/>
      <c r="O79" s="49"/>
      <c r="P79" s="50"/>
      <c r="Q79" s="78"/>
      <c r="R79" s="80"/>
      <c r="S79" s="49"/>
      <c r="T79" s="50"/>
      <c r="U79" s="78"/>
      <c r="V79" s="80"/>
      <c r="W79" s="49"/>
      <c r="X79" s="50"/>
      <c r="Y79" s="78"/>
      <c r="Z79" s="80"/>
      <c r="AA79" s="49"/>
      <c r="AB79" s="50"/>
      <c r="AC79" s="78"/>
      <c r="AD79" s="80"/>
      <c r="AE79" s="49"/>
      <c r="AF79" s="50"/>
      <c r="AG79" s="78"/>
      <c r="AH79" s="80"/>
      <c r="AI79" s="78"/>
      <c r="AJ79" s="80"/>
      <c r="AK79" s="49"/>
      <c r="AL79" s="50"/>
      <c r="AM79" s="78"/>
      <c r="AN79" s="80"/>
      <c r="AO79" s="49"/>
      <c r="AP79" s="50"/>
      <c r="AQ79" s="78"/>
      <c r="AR79" s="80"/>
      <c r="AS79" s="49"/>
      <c r="AT79" s="50"/>
      <c r="AU79" s="78"/>
      <c r="AV79" s="80"/>
      <c r="AW79" s="189"/>
      <c r="AX79" s="190"/>
      <c r="AY79" s="23"/>
      <c r="AZ79" s="23"/>
      <c r="BA79" s="23"/>
    </row>
    <row r="80" spans="1:53" s="44" customFormat="1" ht="22" customHeight="1" x14ac:dyDescent="0.2">
      <c r="A80" s="41">
        <f>'ALS 10 BAZAR'!A80</f>
        <v>0</v>
      </c>
      <c r="B80" s="78">
        <f>'ALS 10 BAZAR'!B80:E80</f>
        <v>0</v>
      </c>
      <c r="C80" s="79"/>
      <c r="D80" s="79"/>
      <c r="E80" s="80"/>
      <c r="F80" s="42">
        <f>'ALS 10 BAZAR'!F80</f>
        <v>0</v>
      </c>
      <c r="G80" s="43">
        <f>'ALS 10 BAZAR'!G80</f>
        <v>0</v>
      </c>
      <c r="H80" s="39">
        <f t="shared" si="2"/>
        <v>0</v>
      </c>
      <c r="I80" s="39"/>
      <c r="J80" s="47"/>
      <c r="K80" s="49"/>
      <c r="L80" s="50"/>
      <c r="M80" s="78"/>
      <c r="N80" s="80"/>
      <c r="O80" s="49"/>
      <c r="P80" s="50"/>
      <c r="Q80" s="78"/>
      <c r="R80" s="80"/>
      <c r="S80" s="49"/>
      <c r="T80" s="50"/>
      <c r="U80" s="78"/>
      <c r="V80" s="80"/>
      <c r="W80" s="49"/>
      <c r="X80" s="50"/>
      <c r="Y80" s="78"/>
      <c r="Z80" s="80"/>
      <c r="AA80" s="49"/>
      <c r="AB80" s="50"/>
      <c r="AC80" s="78"/>
      <c r="AD80" s="80"/>
      <c r="AE80" s="49"/>
      <c r="AF80" s="50"/>
      <c r="AG80" s="78"/>
      <c r="AH80" s="80"/>
      <c r="AI80" s="78"/>
      <c r="AJ80" s="80"/>
      <c r="AK80" s="49"/>
      <c r="AL80" s="50"/>
      <c r="AM80" s="78"/>
      <c r="AN80" s="80"/>
      <c r="AO80" s="49"/>
      <c r="AP80" s="50"/>
      <c r="AQ80" s="78"/>
      <c r="AR80" s="80"/>
      <c r="AS80" s="49"/>
      <c r="AT80" s="50"/>
      <c r="AU80" s="78"/>
      <c r="AV80" s="80"/>
      <c r="AW80" s="189"/>
      <c r="AX80" s="190"/>
      <c r="AY80" s="23"/>
      <c r="AZ80" s="23"/>
      <c r="BA80" s="23"/>
    </row>
    <row r="81" spans="1:53" s="44" customFormat="1" ht="22" customHeight="1" x14ac:dyDescent="0.2">
      <c r="A81" s="41">
        <f>'ALS 10 BAZAR'!A81</f>
        <v>0</v>
      </c>
      <c r="B81" s="78">
        <f>'ALS 10 BAZAR'!B81:E81</f>
        <v>0</v>
      </c>
      <c r="C81" s="79"/>
      <c r="D81" s="79"/>
      <c r="E81" s="80"/>
      <c r="F81" s="42">
        <f>'ALS 10 BAZAR'!F81</f>
        <v>0</v>
      </c>
      <c r="G81" s="43">
        <f>'ALS 10 BAZAR'!G81</f>
        <v>0</v>
      </c>
      <c r="H81" s="39">
        <f t="shared" si="2"/>
        <v>0</v>
      </c>
      <c r="I81" s="39"/>
      <c r="J81" s="47"/>
      <c r="K81" s="49"/>
      <c r="L81" s="50"/>
      <c r="M81" s="78"/>
      <c r="N81" s="80"/>
      <c r="O81" s="49"/>
      <c r="P81" s="50"/>
      <c r="Q81" s="78"/>
      <c r="R81" s="80"/>
      <c r="S81" s="49"/>
      <c r="T81" s="50"/>
      <c r="U81" s="78"/>
      <c r="V81" s="80"/>
      <c r="W81" s="49"/>
      <c r="X81" s="50"/>
      <c r="Y81" s="78"/>
      <c r="Z81" s="80"/>
      <c r="AA81" s="49"/>
      <c r="AB81" s="50"/>
      <c r="AC81" s="78"/>
      <c r="AD81" s="80"/>
      <c r="AE81" s="49"/>
      <c r="AF81" s="50"/>
      <c r="AG81" s="78"/>
      <c r="AH81" s="80"/>
      <c r="AI81" s="78"/>
      <c r="AJ81" s="80"/>
      <c r="AK81" s="49"/>
      <c r="AL81" s="50"/>
      <c r="AM81" s="78"/>
      <c r="AN81" s="80"/>
      <c r="AO81" s="49"/>
      <c r="AP81" s="50"/>
      <c r="AQ81" s="78"/>
      <c r="AR81" s="80"/>
      <c r="AS81" s="49"/>
      <c r="AT81" s="50"/>
      <c r="AU81" s="78"/>
      <c r="AV81" s="80"/>
      <c r="AW81" s="189"/>
      <c r="AX81" s="190"/>
      <c r="AY81" s="23"/>
      <c r="AZ81" s="23"/>
      <c r="BA81" s="23"/>
    </row>
    <row r="82" spans="1:53" s="44" customFormat="1" ht="22" customHeight="1" x14ac:dyDescent="0.2">
      <c r="A82" s="41">
        <f>'ALS 10 BAZAR'!A82</f>
        <v>0</v>
      </c>
      <c r="B82" s="78">
        <f>'ALS 10 BAZAR'!B82:E82</f>
        <v>0</v>
      </c>
      <c r="C82" s="79"/>
      <c r="D82" s="79"/>
      <c r="E82" s="80"/>
      <c r="F82" s="42">
        <f>'ALS 10 BAZAR'!F82</f>
        <v>0</v>
      </c>
      <c r="G82" s="43">
        <f>'ALS 10 BAZAR'!G82</f>
        <v>0</v>
      </c>
      <c r="H82" s="39">
        <f t="shared" si="2"/>
        <v>0</v>
      </c>
      <c r="I82" s="39"/>
      <c r="J82" s="47"/>
      <c r="K82" s="189"/>
      <c r="L82" s="190"/>
      <c r="M82" s="78"/>
      <c r="N82" s="80"/>
      <c r="O82" s="189"/>
      <c r="P82" s="190"/>
      <c r="Q82" s="78"/>
      <c r="R82" s="80"/>
      <c r="S82" s="189"/>
      <c r="T82" s="190"/>
      <c r="U82" s="78"/>
      <c r="V82" s="80"/>
      <c r="W82" s="189"/>
      <c r="X82" s="190"/>
      <c r="Y82" s="78"/>
      <c r="Z82" s="80"/>
      <c r="AA82" s="189"/>
      <c r="AB82" s="190"/>
      <c r="AC82" s="78"/>
      <c r="AD82" s="80"/>
      <c r="AE82" s="189"/>
      <c r="AF82" s="190"/>
      <c r="AG82" s="78"/>
      <c r="AH82" s="80"/>
      <c r="AI82" s="78"/>
      <c r="AJ82" s="80"/>
      <c r="AK82" s="189"/>
      <c r="AL82" s="190"/>
      <c r="AM82" s="78"/>
      <c r="AN82" s="80"/>
      <c r="AO82" s="189"/>
      <c r="AP82" s="190"/>
      <c r="AQ82" s="78"/>
      <c r="AR82" s="80"/>
      <c r="AS82" s="189"/>
      <c r="AT82" s="190"/>
      <c r="AU82" s="78"/>
      <c r="AV82" s="80"/>
      <c r="AW82" s="189"/>
      <c r="AX82" s="190"/>
      <c r="AY82" s="23"/>
      <c r="AZ82" s="23"/>
      <c r="BA82" s="23"/>
    </row>
    <row r="83" spans="1:53" s="44" customFormat="1" ht="22" customHeight="1" x14ac:dyDescent="0.2">
      <c r="A83" s="41">
        <f>'ALS 10 BAZAR'!A83</f>
        <v>0</v>
      </c>
      <c r="B83" s="78">
        <f>'ALS 10 BAZAR'!B83:E83</f>
        <v>0</v>
      </c>
      <c r="C83" s="79"/>
      <c r="D83" s="79"/>
      <c r="E83" s="80"/>
      <c r="F83" s="42">
        <f>'ALS 10 BAZAR'!F83</f>
        <v>0</v>
      </c>
      <c r="G83" s="43">
        <f>'ALS 10 BAZAR'!G83</f>
        <v>0</v>
      </c>
      <c r="H83" s="39">
        <f t="shared" si="2"/>
        <v>0</v>
      </c>
      <c r="I83" s="39"/>
      <c r="J83" s="47"/>
      <c r="K83" s="189"/>
      <c r="L83" s="190"/>
      <c r="M83" s="78"/>
      <c r="N83" s="80"/>
      <c r="O83" s="189"/>
      <c r="P83" s="190"/>
      <c r="Q83" s="78"/>
      <c r="R83" s="80"/>
      <c r="S83" s="189"/>
      <c r="T83" s="190"/>
      <c r="U83" s="78"/>
      <c r="V83" s="80"/>
      <c r="W83" s="189"/>
      <c r="X83" s="190"/>
      <c r="Y83" s="78"/>
      <c r="Z83" s="80"/>
      <c r="AA83" s="189"/>
      <c r="AB83" s="190"/>
      <c r="AC83" s="78"/>
      <c r="AD83" s="80"/>
      <c r="AE83" s="189"/>
      <c r="AF83" s="190"/>
      <c r="AG83" s="78"/>
      <c r="AH83" s="80"/>
      <c r="AI83" s="78"/>
      <c r="AJ83" s="80"/>
      <c r="AK83" s="189"/>
      <c r="AL83" s="190"/>
      <c r="AM83" s="78"/>
      <c r="AN83" s="80"/>
      <c r="AO83" s="189"/>
      <c r="AP83" s="190"/>
      <c r="AQ83" s="78"/>
      <c r="AR83" s="80"/>
      <c r="AS83" s="189"/>
      <c r="AT83" s="190"/>
      <c r="AU83" s="78"/>
      <c r="AV83" s="80"/>
      <c r="AW83" s="189"/>
      <c r="AX83" s="190"/>
      <c r="AY83" s="23"/>
      <c r="AZ83" s="23"/>
      <c r="BA83" s="23"/>
    </row>
    <row r="84" spans="1:53" s="44" customFormat="1" ht="22" customHeight="1" x14ac:dyDescent="0.2">
      <c r="A84" s="41">
        <f>'ALS 10 BAZAR'!A84</f>
        <v>0</v>
      </c>
      <c r="B84" s="78">
        <f>'ALS 10 BAZAR'!B84:E84</f>
        <v>0</v>
      </c>
      <c r="C84" s="79"/>
      <c r="D84" s="79"/>
      <c r="E84" s="80"/>
      <c r="F84" s="42">
        <f>'ALS 10 BAZAR'!F84</f>
        <v>0</v>
      </c>
      <c r="G84" s="43">
        <f>'ALS 10 BAZAR'!G84</f>
        <v>0</v>
      </c>
      <c r="H84" s="39">
        <f t="shared" si="2"/>
        <v>0</v>
      </c>
      <c r="I84" s="39"/>
      <c r="J84" s="47"/>
      <c r="K84" s="189"/>
      <c r="L84" s="190"/>
      <c r="M84" s="78"/>
      <c r="N84" s="80"/>
      <c r="O84" s="189"/>
      <c r="P84" s="190"/>
      <c r="Q84" s="78"/>
      <c r="R84" s="80"/>
      <c r="S84" s="189"/>
      <c r="T84" s="190"/>
      <c r="U84" s="78"/>
      <c r="V84" s="80"/>
      <c r="W84" s="189"/>
      <c r="X84" s="190"/>
      <c r="Y84" s="78"/>
      <c r="Z84" s="80"/>
      <c r="AA84" s="189"/>
      <c r="AB84" s="190"/>
      <c r="AC84" s="78"/>
      <c r="AD84" s="80"/>
      <c r="AE84" s="189"/>
      <c r="AF84" s="190"/>
      <c r="AG84" s="78"/>
      <c r="AH84" s="80"/>
      <c r="AI84" s="78"/>
      <c r="AJ84" s="80"/>
      <c r="AK84" s="189"/>
      <c r="AL84" s="190"/>
      <c r="AM84" s="78"/>
      <c r="AN84" s="80"/>
      <c r="AO84" s="189"/>
      <c r="AP84" s="190"/>
      <c r="AQ84" s="78"/>
      <c r="AR84" s="80"/>
      <c r="AS84" s="189"/>
      <c r="AT84" s="190"/>
      <c r="AU84" s="140"/>
      <c r="AV84" s="140"/>
      <c r="AW84" s="189"/>
      <c r="AX84" s="190"/>
      <c r="AY84" s="23"/>
      <c r="AZ84" s="23"/>
      <c r="BA84" s="23"/>
    </row>
    <row r="85" spans="1:53" s="44" customFormat="1" ht="22" customHeight="1" x14ac:dyDescent="0.2">
      <c r="A85" s="41">
        <f>'ALS 10 BAZAR'!A85</f>
        <v>0</v>
      </c>
      <c r="B85" s="78">
        <f>'ALS 10 BAZAR'!B85:E85</f>
        <v>0</v>
      </c>
      <c r="C85" s="79"/>
      <c r="D85" s="79"/>
      <c r="E85" s="80"/>
      <c r="F85" s="42">
        <f>'ALS 10 BAZAR'!F85</f>
        <v>0</v>
      </c>
      <c r="G85" s="43">
        <f>'ALS 10 BAZAR'!G85</f>
        <v>0</v>
      </c>
      <c r="H85" s="39">
        <f t="shared" si="2"/>
        <v>0</v>
      </c>
      <c r="I85" s="39"/>
      <c r="J85" s="47"/>
      <c r="K85" s="189"/>
      <c r="L85" s="190"/>
      <c r="M85" s="78"/>
      <c r="N85" s="80"/>
      <c r="O85" s="189"/>
      <c r="P85" s="190"/>
      <c r="Q85" s="78"/>
      <c r="R85" s="80"/>
      <c r="S85" s="189"/>
      <c r="T85" s="190"/>
      <c r="U85" s="78"/>
      <c r="V85" s="80"/>
      <c r="W85" s="189"/>
      <c r="X85" s="190"/>
      <c r="Y85" s="78"/>
      <c r="Z85" s="80"/>
      <c r="AA85" s="189"/>
      <c r="AB85" s="190"/>
      <c r="AC85" s="78"/>
      <c r="AD85" s="80"/>
      <c r="AE85" s="189"/>
      <c r="AF85" s="190"/>
      <c r="AG85" s="78"/>
      <c r="AH85" s="80"/>
      <c r="AI85" s="78"/>
      <c r="AJ85" s="80"/>
      <c r="AK85" s="189"/>
      <c r="AL85" s="190"/>
      <c r="AM85" s="78"/>
      <c r="AN85" s="80"/>
      <c r="AO85" s="189"/>
      <c r="AP85" s="190"/>
      <c r="AQ85" s="78"/>
      <c r="AR85" s="80"/>
      <c r="AS85" s="189"/>
      <c r="AT85" s="190"/>
      <c r="AU85" s="140"/>
      <c r="AV85" s="140"/>
      <c r="AW85" s="189"/>
      <c r="AX85" s="190"/>
      <c r="AY85" s="23"/>
      <c r="AZ85" s="23"/>
      <c r="BA85" s="23"/>
    </row>
    <row r="86" spans="1:53" s="44" customFormat="1" ht="22" customHeight="1" x14ac:dyDescent="0.2">
      <c r="A86" s="41">
        <f>'ALS 10 BAZAR'!A86</f>
        <v>0</v>
      </c>
      <c r="B86" s="78">
        <f>'ALS 10 BAZAR'!B86:E86</f>
        <v>0</v>
      </c>
      <c r="C86" s="79"/>
      <c r="D86" s="79"/>
      <c r="E86" s="80"/>
      <c r="F86" s="42">
        <f>'ALS 10 BAZAR'!F86</f>
        <v>0</v>
      </c>
      <c r="G86" s="43">
        <f>'ALS 10 BAZAR'!G86</f>
        <v>0</v>
      </c>
      <c r="H86" s="39">
        <f t="shared" si="2"/>
        <v>0</v>
      </c>
      <c r="I86" s="39"/>
      <c r="J86" s="47"/>
      <c r="K86" s="189"/>
      <c r="L86" s="190"/>
      <c r="M86" s="78"/>
      <c r="N86" s="80"/>
      <c r="O86" s="189"/>
      <c r="P86" s="190"/>
      <c r="Q86" s="78"/>
      <c r="R86" s="80"/>
      <c r="S86" s="189"/>
      <c r="T86" s="190"/>
      <c r="U86" s="78"/>
      <c r="V86" s="80"/>
      <c r="W86" s="189"/>
      <c r="X86" s="190"/>
      <c r="Y86" s="78"/>
      <c r="Z86" s="80"/>
      <c r="AA86" s="189"/>
      <c r="AB86" s="190"/>
      <c r="AC86" s="78"/>
      <c r="AD86" s="80"/>
      <c r="AE86" s="189"/>
      <c r="AF86" s="190"/>
      <c r="AG86" s="78"/>
      <c r="AH86" s="80"/>
      <c r="AI86" s="78"/>
      <c r="AJ86" s="80"/>
      <c r="AK86" s="189"/>
      <c r="AL86" s="190"/>
      <c r="AM86" s="78"/>
      <c r="AN86" s="80"/>
      <c r="AO86" s="189"/>
      <c r="AP86" s="190"/>
      <c r="AQ86" s="78"/>
      <c r="AR86" s="80"/>
      <c r="AS86" s="189"/>
      <c r="AT86" s="190"/>
      <c r="AU86" s="140"/>
      <c r="AV86" s="140"/>
      <c r="AW86" s="189"/>
      <c r="AX86" s="190"/>
      <c r="AY86" s="23"/>
      <c r="AZ86" s="23"/>
      <c r="BA86" s="23"/>
    </row>
    <row r="87" spans="1:53" s="44" customFormat="1" ht="22" customHeight="1" x14ac:dyDescent="0.2">
      <c r="A87" s="41">
        <f>'ALS 10 BAZAR'!A87</f>
        <v>0</v>
      </c>
      <c r="B87" s="78">
        <f>'ALS 10 BAZAR'!B87:E87</f>
        <v>0</v>
      </c>
      <c r="C87" s="79"/>
      <c r="D87" s="79"/>
      <c r="E87" s="80"/>
      <c r="F87" s="42">
        <f>'ALS 10 BAZAR'!F87</f>
        <v>0</v>
      </c>
      <c r="G87" s="43">
        <f>'ALS 10 BAZAR'!G87</f>
        <v>0</v>
      </c>
      <c r="H87" s="39">
        <f t="shared" si="2"/>
        <v>0</v>
      </c>
      <c r="I87" s="39"/>
      <c r="J87" s="47"/>
      <c r="K87" s="189"/>
      <c r="L87" s="190"/>
      <c r="M87" s="78"/>
      <c r="N87" s="80"/>
      <c r="O87" s="189"/>
      <c r="P87" s="190"/>
      <c r="Q87" s="78"/>
      <c r="R87" s="80"/>
      <c r="S87" s="189"/>
      <c r="T87" s="190"/>
      <c r="U87" s="78"/>
      <c r="V87" s="80"/>
      <c r="W87" s="189"/>
      <c r="X87" s="190"/>
      <c r="Y87" s="78"/>
      <c r="Z87" s="80"/>
      <c r="AA87" s="189"/>
      <c r="AB87" s="190"/>
      <c r="AC87" s="78"/>
      <c r="AD87" s="80"/>
      <c r="AE87" s="189"/>
      <c r="AF87" s="190"/>
      <c r="AG87" s="78"/>
      <c r="AH87" s="80"/>
      <c r="AI87" s="78"/>
      <c r="AJ87" s="80"/>
      <c r="AK87" s="189"/>
      <c r="AL87" s="190"/>
      <c r="AM87" s="78"/>
      <c r="AN87" s="80"/>
      <c r="AO87" s="189"/>
      <c r="AP87" s="190"/>
      <c r="AQ87" s="78"/>
      <c r="AR87" s="80"/>
      <c r="AS87" s="189"/>
      <c r="AT87" s="190"/>
      <c r="AU87" s="140"/>
      <c r="AV87" s="140"/>
      <c r="AW87" s="189"/>
      <c r="AX87" s="190"/>
      <c r="AY87" s="23"/>
      <c r="AZ87" s="23"/>
      <c r="BA87" s="23"/>
    </row>
    <row r="88" spans="1:53" s="44" customFormat="1" ht="22" customHeight="1" x14ac:dyDescent="0.2">
      <c r="A88" s="41">
        <f>'ALS 10 BAZAR'!A88</f>
        <v>0</v>
      </c>
      <c r="B88" s="78">
        <f>'ALS 10 BAZAR'!B88:E88</f>
        <v>0</v>
      </c>
      <c r="C88" s="79"/>
      <c r="D88" s="79"/>
      <c r="E88" s="80"/>
      <c r="F88" s="42">
        <f>'ALS 10 BAZAR'!F88</f>
        <v>0</v>
      </c>
      <c r="G88" s="43">
        <f>'ALS 10 BAZAR'!G88</f>
        <v>0</v>
      </c>
      <c r="H88" s="39">
        <f t="shared" si="2"/>
        <v>0</v>
      </c>
      <c r="I88" s="39"/>
      <c r="J88" s="47"/>
      <c r="K88" s="189"/>
      <c r="L88" s="190"/>
      <c r="M88" s="78"/>
      <c r="N88" s="80"/>
      <c r="O88" s="189"/>
      <c r="P88" s="190"/>
      <c r="Q88" s="78"/>
      <c r="R88" s="80"/>
      <c r="S88" s="189"/>
      <c r="T88" s="190"/>
      <c r="U88" s="78"/>
      <c r="V88" s="80"/>
      <c r="W88" s="189"/>
      <c r="X88" s="190"/>
      <c r="Y88" s="78"/>
      <c r="Z88" s="80"/>
      <c r="AA88" s="189"/>
      <c r="AB88" s="190"/>
      <c r="AC88" s="78"/>
      <c r="AD88" s="80"/>
      <c r="AE88" s="189"/>
      <c r="AF88" s="190"/>
      <c r="AG88" s="78"/>
      <c r="AH88" s="80"/>
      <c r="AI88" s="78"/>
      <c r="AJ88" s="80"/>
      <c r="AK88" s="189"/>
      <c r="AL88" s="190"/>
      <c r="AM88" s="78"/>
      <c r="AN88" s="80"/>
      <c r="AO88" s="189"/>
      <c r="AP88" s="190"/>
      <c r="AQ88" s="78"/>
      <c r="AR88" s="80"/>
      <c r="AS88" s="189"/>
      <c r="AT88" s="190"/>
      <c r="AU88" s="140"/>
      <c r="AV88" s="140"/>
      <c r="AW88" s="189"/>
      <c r="AX88" s="190"/>
      <c r="AY88" s="23"/>
      <c r="AZ88" s="23"/>
      <c r="BA88" s="23"/>
    </row>
    <row r="89" spans="1:53" s="44" customFormat="1" ht="22" customHeight="1" x14ac:dyDescent="0.2">
      <c r="A89" s="41">
        <f>'ALS 10 BAZAR'!A89</f>
        <v>0</v>
      </c>
      <c r="B89" s="78">
        <f>'ALS 10 BAZAR'!B89:E89</f>
        <v>0</v>
      </c>
      <c r="C89" s="79"/>
      <c r="D89" s="79"/>
      <c r="E89" s="80"/>
      <c r="F89" s="42">
        <f>'ALS 10 BAZAR'!F89</f>
        <v>0</v>
      </c>
      <c r="G89" s="43">
        <f>'ALS 10 BAZAR'!G89</f>
        <v>0</v>
      </c>
      <c r="H89" s="39">
        <f t="shared" si="2"/>
        <v>0</v>
      </c>
      <c r="I89" s="39"/>
      <c r="J89" s="47"/>
      <c r="K89" s="189"/>
      <c r="L89" s="190"/>
      <c r="M89" s="78"/>
      <c r="N89" s="80"/>
      <c r="O89" s="189"/>
      <c r="P89" s="190"/>
      <c r="Q89" s="78"/>
      <c r="R89" s="80"/>
      <c r="S89" s="189"/>
      <c r="T89" s="190"/>
      <c r="U89" s="78"/>
      <c r="V89" s="80"/>
      <c r="W89" s="189"/>
      <c r="X89" s="190"/>
      <c r="Y89" s="78"/>
      <c r="Z89" s="80"/>
      <c r="AA89" s="189"/>
      <c r="AB89" s="190"/>
      <c r="AC89" s="78"/>
      <c r="AD89" s="80"/>
      <c r="AE89" s="189"/>
      <c r="AF89" s="190"/>
      <c r="AG89" s="78"/>
      <c r="AH89" s="80"/>
      <c r="AI89" s="78"/>
      <c r="AJ89" s="80"/>
      <c r="AK89" s="189"/>
      <c r="AL89" s="190"/>
      <c r="AM89" s="78"/>
      <c r="AN89" s="80"/>
      <c r="AO89" s="189"/>
      <c r="AP89" s="190"/>
      <c r="AQ89" s="78"/>
      <c r="AR89" s="80"/>
      <c r="AS89" s="189"/>
      <c r="AT89" s="190"/>
      <c r="AU89" s="140"/>
      <c r="AV89" s="140"/>
      <c r="AW89" s="189"/>
      <c r="AX89" s="190"/>
      <c r="AY89" s="23"/>
      <c r="AZ89" s="23"/>
      <c r="BA89" s="23"/>
    </row>
    <row r="90" spans="1:53" s="44" customFormat="1" ht="22" customHeight="1" x14ac:dyDescent="0.2">
      <c r="A90" s="41">
        <f>'ALS 10 BAZAR'!A90</f>
        <v>0</v>
      </c>
      <c r="B90" s="78">
        <f>'ALS 10 BAZAR'!B90:E90</f>
        <v>0</v>
      </c>
      <c r="C90" s="79"/>
      <c r="D90" s="79"/>
      <c r="E90" s="80"/>
      <c r="F90" s="42">
        <f>'ALS 10 BAZAR'!F90</f>
        <v>0</v>
      </c>
      <c r="G90" s="43">
        <f>'ALS 10 BAZAR'!G90</f>
        <v>0</v>
      </c>
      <c r="H90" s="39">
        <f t="shared" si="2"/>
        <v>0</v>
      </c>
      <c r="I90" s="39"/>
      <c r="J90" s="47"/>
      <c r="K90" s="189"/>
      <c r="L90" s="190"/>
      <c r="M90" s="78"/>
      <c r="N90" s="80"/>
      <c r="O90" s="189"/>
      <c r="P90" s="190"/>
      <c r="Q90" s="78"/>
      <c r="R90" s="80"/>
      <c r="S90" s="189"/>
      <c r="T90" s="190"/>
      <c r="U90" s="78"/>
      <c r="V90" s="80"/>
      <c r="W90" s="189"/>
      <c r="X90" s="190"/>
      <c r="Y90" s="78"/>
      <c r="Z90" s="80"/>
      <c r="AA90" s="189"/>
      <c r="AB90" s="190"/>
      <c r="AC90" s="78"/>
      <c r="AD90" s="80"/>
      <c r="AE90" s="189"/>
      <c r="AF90" s="190"/>
      <c r="AG90" s="78"/>
      <c r="AH90" s="80"/>
      <c r="AI90" s="78"/>
      <c r="AJ90" s="80"/>
      <c r="AK90" s="189"/>
      <c r="AL90" s="190"/>
      <c r="AM90" s="78"/>
      <c r="AN90" s="80"/>
      <c r="AO90" s="189"/>
      <c r="AP90" s="190"/>
      <c r="AQ90" s="78"/>
      <c r="AR90" s="80"/>
      <c r="AS90" s="189"/>
      <c r="AT90" s="190"/>
      <c r="AU90" s="140"/>
      <c r="AV90" s="140"/>
      <c r="AW90" s="189"/>
      <c r="AX90" s="190"/>
      <c r="AY90" s="23"/>
      <c r="AZ90" s="23"/>
      <c r="BA90" s="23"/>
    </row>
    <row r="91" spans="1:53" s="44" customFormat="1" ht="22" customHeight="1" x14ac:dyDescent="0.2">
      <c r="A91" s="48" t="str">
        <f>'ALS 10 BAZAR'!A71</f>
        <v>CONFERENTE</v>
      </c>
      <c r="B91" s="140"/>
      <c r="C91" s="140"/>
      <c r="D91" s="140"/>
      <c r="E91" s="140"/>
      <c r="F91" s="140"/>
      <c r="G91" s="140"/>
      <c r="H91" s="140"/>
      <c r="I91" s="39"/>
      <c r="J91" s="47"/>
      <c r="K91" s="189"/>
      <c r="L91" s="190"/>
      <c r="M91" s="78"/>
      <c r="N91" s="80"/>
      <c r="O91" s="189"/>
      <c r="P91" s="190"/>
      <c r="Q91" s="78"/>
      <c r="R91" s="80"/>
      <c r="S91" s="189"/>
      <c r="T91" s="190"/>
      <c r="U91" s="78"/>
      <c r="V91" s="80"/>
      <c r="W91" s="189"/>
      <c r="X91" s="190"/>
      <c r="Y91" s="78"/>
      <c r="Z91" s="80"/>
      <c r="AA91" s="189"/>
      <c r="AB91" s="190"/>
      <c r="AC91" s="78"/>
      <c r="AD91" s="80"/>
      <c r="AE91" s="189"/>
      <c r="AF91" s="190"/>
      <c r="AG91" s="78"/>
      <c r="AH91" s="80"/>
      <c r="AI91" s="78"/>
      <c r="AJ91" s="80"/>
      <c r="AK91" s="189"/>
      <c r="AL91" s="190"/>
      <c r="AM91" s="78"/>
      <c r="AN91" s="80"/>
      <c r="AO91" s="189"/>
      <c r="AP91" s="190"/>
      <c r="AQ91" s="78"/>
      <c r="AR91" s="80"/>
      <c r="AS91" s="189"/>
      <c r="AT91" s="190"/>
      <c r="AU91" s="140"/>
      <c r="AV91" s="140"/>
      <c r="AW91" s="189"/>
      <c r="AX91" s="190"/>
      <c r="AY91" s="23"/>
      <c r="AZ91" s="23"/>
      <c r="BA91" s="23"/>
    </row>
    <row r="92" spans="1:53" s="44" customFormat="1" ht="22" customHeight="1" x14ac:dyDescent="0.2">
      <c r="A92" s="207" t="str">
        <f>'ALS 10 BAZAR'!A73</f>
        <v>POSSUI AVARIAS?</v>
      </c>
      <c r="B92" s="208"/>
      <c r="C92" s="208"/>
      <c r="D92" s="208"/>
      <c r="E92" s="208"/>
      <c r="F92" s="208"/>
      <c r="G92" s="208"/>
      <c r="H92" s="208"/>
      <c r="I92" s="39"/>
      <c r="J92" s="47"/>
      <c r="K92" s="189"/>
      <c r="L92" s="190"/>
      <c r="M92" s="78"/>
      <c r="N92" s="80"/>
      <c r="O92" s="189"/>
      <c r="P92" s="190"/>
      <c r="Q92" s="78"/>
      <c r="R92" s="80"/>
      <c r="S92" s="189"/>
      <c r="T92" s="190"/>
      <c r="U92" s="78"/>
      <c r="V92" s="80"/>
      <c r="W92" s="189"/>
      <c r="X92" s="190"/>
      <c r="Y92" s="78"/>
      <c r="Z92" s="80"/>
      <c r="AA92" s="189"/>
      <c r="AB92" s="190"/>
      <c r="AC92" s="78"/>
      <c r="AD92" s="80"/>
      <c r="AE92" s="189"/>
      <c r="AF92" s="190"/>
      <c r="AG92" s="78"/>
      <c r="AH92" s="80"/>
      <c r="AI92" s="78"/>
      <c r="AJ92" s="80"/>
      <c r="AK92" s="189"/>
      <c r="AL92" s="190"/>
      <c r="AM92" s="78"/>
      <c r="AN92" s="80"/>
      <c r="AO92" s="189"/>
      <c r="AP92" s="190"/>
      <c r="AQ92" s="78"/>
      <c r="AR92" s="80"/>
      <c r="AS92" s="189"/>
      <c r="AT92" s="190"/>
      <c r="AU92" s="140"/>
      <c r="AV92" s="140"/>
      <c r="AW92" s="189"/>
      <c r="AX92" s="190"/>
      <c r="AY92" s="23"/>
      <c r="AZ92" s="23"/>
      <c r="BA92" s="23"/>
    </row>
    <row r="93" spans="1:53" s="44" customFormat="1" ht="22" customHeight="1" x14ac:dyDescent="0.2">
      <c r="A93" s="207"/>
      <c r="B93" s="208"/>
      <c r="C93" s="208"/>
      <c r="D93" s="208"/>
      <c r="E93" s="208"/>
      <c r="F93" s="208"/>
      <c r="G93" s="208"/>
      <c r="H93" s="208"/>
      <c r="I93" s="39"/>
      <c r="J93" s="47"/>
      <c r="K93" s="189"/>
      <c r="L93" s="190"/>
      <c r="M93" s="78"/>
      <c r="N93" s="80"/>
      <c r="O93" s="189"/>
      <c r="P93" s="190"/>
      <c r="Q93" s="78"/>
      <c r="R93" s="80"/>
      <c r="S93" s="189"/>
      <c r="T93" s="190"/>
      <c r="U93" s="78"/>
      <c r="V93" s="80"/>
      <c r="W93" s="189"/>
      <c r="X93" s="190"/>
      <c r="Y93" s="78"/>
      <c r="Z93" s="80"/>
      <c r="AA93" s="189"/>
      <c r="AB93" s="190"/>
      <c r="AC93" s="78"/>
      <c r="AD93" s="80"/>
      <c r="AE93" s="189"/>
      <c r="AF93" s="190"/>
      <c r="AG93" s="78"/>
      <c r="AH93" s="80"/>
      <c r="AI93" s="78"/>
      <c r="AJ93" s="80"/>
      <c r="AK93" s="189"/>
      <c r="AL93" s="190"/>
      <c r="AM93" s="78"/>
      <c r="AN93" s="80"/>
      <c r="AO93" s="189"/>
      <c r="AP93" s="190"/>
      <c r="AQ93" s="78"/>
      <c r="AR93" s="80"/>
      <c r="AS93" s="189"/>
      <c r="AT93" s="190"/>
      <c r="AU93" s="140"/>
      <c r="AV93" s="140"/>
      <c r="AW93" s="189"/>
      <c r="AX93" s="190"/>
      <c r="AY93" s="23"/>
      <c r="AZ93" s="23"/>
      <c r="BA93" s="23"/>
    </row>
    <row r="94" spans="1:53" s="44" customFormat="1" ht="22" customHeight="1" x14ac:dyDescent="0.2">
      <c r="A94" s="207"/>
      <c r="B94" s="208"/>
      <c r="C94" s="208"/>
      <c r="D94" s="208"/>
      <c r="E94" s="208"/>
      <c r="F94" s="208"/>
      <c r="G94" s="208"/>
      <c r="H94" s="208"/>
      <c r="I94" s="39"/>
      <c r="J94" s="47"/>
      <c r="K94" s="189"/>
      <c r="L94" s="190"/>
      <c r="M94" s="78"/>
      <c r="N94" s="80"/>
      <c r="O94" s="189"/>
      <c r="P94" s="190"/>
      <c r="Q94" s="78"/>
      <c r="R94" s="80"/>
      <c r="S94" s="189"/>
      <c r="T94" s="190"/>
      <c r="U94" s="78"/>
      <c r="V94" s="80"/>
      <c r="W94" s="189"/>
      <c r="X94" s="190"/>
      <c r="Y94" s="78"/>
      <c r="Z94" s="80"/>
      <c r="AA94" s="189"/>
      <c r="AB94" s="190"/>
      <c r="AC94" s="78"/>
      <c r="AD94" s="80"/>
      <c r="AE94" s="189"/>
      <c r="AF94" s="190"/>
      <c r="AG94" s="78"/>
      <c r="AH94" s="80"/>
      <c r="AI94" s="78"/>
      <c r="AJ94" s="80"/>
      <c r="AK94" s="189"/>
      <c r="AL94" s="190"/>
      <c r="AM94" s="78"/>
      <c r="AN94" s="80"/>
      <c r="AO94" s="189"/>
      <c r="AP94" s="190"/>
      <c r="AQ94" s="78"/>
      <c r="AR94" s="80"/>
      <c r="AS94" s="189"/>
      <c r="AT94" s="190"/>
      <c r="AU94" s="140"/>
      <c r="AV94" s="140"/>
      <c r="AW94" s="200"/>
      <c r="AX94" s="200"/>
      <c r="AY94" s="23"/>
      <c r="AZ94" s="23"/>
      <c r="BA94" s="23"/>
    </row>
    <row r="95" spans="1:53" s="44" customFormat="1" ht="22" customHeight="1" x14ac:dyDescent="0.2">
      <c r="A95" s="207"/>
      <c r="B95" s="208"/>
      <c r="C95" s="208"/>
      <c r="D95" s="208"/>
      <c r="E95" s="208"/>
      <c r="F95" s="208"/>
      <c r="G95" s="208"/>
      <c r="H95" s="208"/>
      <c r="I95" s="39"/>
      <c r="J95" s="47"/>
      <c r="K95" s="189"/>
      <c r="L95" s="190"/>
      <c r="M95" s="78"/>
      <c r="N95" s="80"/>
      <c r="O95" s="189"/>
      <c r="P95" s="190"/>
      <c r="Q95" s="78"/>
      <c r="R95" s="80"/>
      <c r="S95" s="189"/>
      <c r="T95" s="190"/>
      <c r="U95" s="78"/>
      <c r="V95" s="80"/>
      <c r="W95" s="189"/>
      <c r="X95" s="190"/>
      <c r="Y95" s="78"/>
      <c r="Z95" s="80"/>
      <c r="AA95" s="189"/>
      <c r="AB95" s="190"/>
      <c r="AC95" s="78"/>
      <c r="AD95" s="80"/>
      <c r="AE95" s="189"/>
      <c r="AF95" s="190"/>
      <c r="AG95" s="78"/>
      <c r="AH95" s="80"/>
      <c r="AI95" s="78"/>
      <c r="AJ95" s="80"/>
      <c r="AK95" s="189"/>
      <c r="AL95" s="190"/>
      <c r="AM95" s="78"/>
      <c r="AN95" s="80"/>
      <c r="AO95" s="189"/>
      <c r="AP95" s="190"/>
      <c r="AQ95" s="78"/>
      <c r="AR95" s="80"/>
      <c r="AS95" s="189"/>
      <c r="AT95" s="190"/>
      <c r="AU95" s="140"/>
      <c r="AV95" s="140"/>
      <c r="AW95" s="200"/>
      <c r="AX95" s="200"/>
      <c r="AY95" s="23"/>
      <c r="AZ95" s="23"/>
      <c r="BA95" s="23"/>
    </row>
    <row r="96" spans="1:53" s="44" customFormat="1" x14ac:dyDescent="0.2">
      <c r="A96" s="207"/>
      <c r="B96" s="208"/>
      <c r="C96" s="208"/>
      <c r="D96" s="208"/>
      <c r="E96" s="208"/>
      <c r="F96" s="208"/>
      <c r="G96" s="208"/>
      <c r="H96" s="208"/>
      <c r="I96" s="39"/>
      <c r="J96" s="39"/>
      <c r="K96" s="189"/>
      <c r="L96" s="190"/>
      <c r="M96" s="78"/>
      <c r="N96" s="80"/>
      <c r="O96" s="189"/>
      <c r="P96" s="190"/>
      <c r="Q96" s="78"/>
      <c r="R96" s="80"/>
      <c r="S96" s="189"/>
      <c r="T96" s="190"/>
      <c r="U96" s="78"/>
      <c r="V96" s="80"/>
      <c r="W96" s="189"/>
      <c r="X96" s="190"/>
      <c r="Y96" s="78"/>
      <c r="Z96" s="80"/>
      <c r="AA96" s="189"/>
      <c r="AB96" s="190"/>
      <c r="AC96" s="78"/>
      <c r="AD96" s="80"/>
      <c r="AE96" s="189"/>
      <c r="AF96" s="190"/>
      <c r="AG96" s="78"/>
      <c r="AH96" s="80"/>
      <c r="AI96" s="78"/>
      <c r="AJ96" s="80"/>
      <c r="AK96" s="189"/>
      <c r="AL96" s="190"/>
      <c r="AM96" s="78"/>
      <c r="AN96" s="80"/>
      <c r="AO96" s="189"/>
      <c r="AP96" s="190"/>
      <c r="AQ96" s="78"/>
      <c r="AR96" s="80"/>
      <c r="AS96" s="189"/>
      <c r="AT96" s="190"/>
      <c r="AU96" s="140"/>
      <c r="AV96" s="140"/>
      <c r="AW96" s="200"/>
      <c r="AX96" s="200"/>
      <c r="AY96" s="23"/>
      <c r="AZ96" s="23"/>
      <c r="BA96" s="23"/>
    </row>
    <row r="97" spans="11:50" x14ac:dyDescent="0.2">
      <c r="AU97" s="100"/>
      <c r="AV97" s="100"/>
      <c r="AW97" s="100"/>
      <c r="AX97" s="100"/>
    </row>
    <row r="98" spans="11:50" x14ac:dyDescent="0.2">
      <c r="AU98" s="100"/>
      <c r="AV98" s="100"/>
      <c r="AW98" s="100"/>
      <c r="AX98" s="100"/>
    </row>
    <row r="99" spans="11:50" s="2" customFormat="1" x14ac:dyDescent="0.2">
      <c r="K99" s="11"/>
      <c r="L99" s="11"/>
      <c r="M99" s="11"/>
      <c r="N99" s="11"/>
      <c r="O99" s="11"/>
      <c r="P99" s="11"/>
      <c r="Q99" s="11"/>
      <c r="AU99" s="100"/>
      <c r="AV99" s="100"/>
      <c r="AW99" s="100"/>
      <c r="AX99" s="100"/>
    </row>
    <row r="100" spans="11:50" s="2" customFormat="1" x14ac:dyDescent="0.2">
      <c r="K100" s="12"/>
      <c r="L100" s="12"/>
      <c r="M100" s="12"/>
      <c r="N100" s="12"/>
      <c r="O100" s="12"/>
      <c r="P100" s="12"/>
      <c r="Q100" s="12"/>
      <c r="AU100" s="100"/>
      <c r="AV100" s="100"/>
      <c r="AW100" s="100"/>
      <c r="AX100" s="100"/>
    </row>
    <row r="101" spans="11:50" s="2" customFormat="1" x14ac:dyDescent="0.2">
      <c r="K101" s="11"/>
      <c r="L101" s="11"/>
      <c r="M101" s="11"/>
      <c r="N101" s="11"/>
      <c r="O101" s="11"/>
      <c r="P101" s="11"/>
      <c r="Q101" s="11"/>
      <c r="AU101" s="100"/>
      <c r="AV101" s="100"/>
      <c r="AW101" s="100"/>
      <c r="AX101" s="100"/>
    </row>
    <row r="102" spans="11:50" s="2" customFormat="1" x14ac:dyDescent="0.2">
      <c r="K102" s="11"/>
      <c r="L102" s="11"/>
      <c r="M102" s="11"/>
      <c r="N102" s="11"/>
      <c r="O102" s="11"/>
      <c r="P102" s="11"/>
      <c r="Q102" s="11"/>
      <c r="AU102" s="100"/>
      <c r="AV102" s="100"/>
      <c r="AW102" s="100"/>
      <c r="AX102" s="100"/>
    </row>
  </sheetData>
  <mergeCells count="1694">
    <mergeCell ref="K13:L13"/>
    <mergeCell ref="K14:L14"/>
    <mergeCell ref="K15:L15"/>
    <mergeCell ref="K16:L16"/>
    <mergeCell ref="K17:L17"/>
    <mergeCell ref="M34:N34"/>
    <mergeCell ref="M25:N25"/>
    <mergeCell ref="B4:D4"/>
    <mergeCell ref="E4:G4"/>
    <mergeCell ref="B5:G5"/>
    <mergeCell ref="I2:L2"/>
    <mergeCell ref="I3:L3"/>
    <mergeCell ref="I4:L4"/>
    <mergeCell ref="E2:G2"/>
    <mergeCell ref="B3:D3"/>
    <mergeCell ref="E3:G3"/>
    <mergeCell ref="B6:H6"/>
    <mergeCell ref="B8:E8"/>
    <mergeCell ref="B9:E9"/>
    <mergeCell ref="B10:E10"/>
    <mergeCell ref="K8:L8"/>
    <mergeCell ref="M8:N8"/>
    <mergeCell ref="B11:E11"/>
    <mergeCell ref="B24:E24"/>
    <mergeCell ref="B25:E25"/>
    <mergeCell ref="B26:E26"/>
    <mergeCell ref="B27:E27"/>
    <mergeCell ref="B23:E23"/>
    <mergeCell ref="B12:E12"/>
    <mergeCell ref="B13:E13"/>
    <mergeCell ref="B21:E21"/>
    <mergeCell ref="B22:E22"/>
    <mergeCell ref="B31:E31"/>
    <mergeCell ref="B88:E88"/>
    <mergeCell ref="B57:E57"/>
    <mergeCell ref="B51:E51"/>
    <mergeCell ref="B52:E52"/>
    <mergeCell ref="B53:E53"/>
    <mergeCell ref="B54:E54"/>
    <mergeCell ref="B36:E36"/>
    <mergeCell ref="B37:E37"/>
    <mergeCell ref="B38:E38"/>
    <mergeCell ref="B39:E39"/>
    <mergeCell ref="B40:E40"/>
    <mergeCell ref="B45:E45"/>
    <mergeCell ref="B42:E42"/>
    <mergeCell ref="B43:E43"/>
    <mergeCell ref="B44:E44"/>
    <mergeCell ref="B49:E49"/>
    <mergeCell ref="B50:E50"/>
    <mergeCell ref="B47:E47"/>
    <mergeCell ref="B64:E64"/>
    <mergeCell ref="B65:E65"/>
    <mergeCell ref="B66:E66"/>
    <mergeCell ref="B67:E67"/>
    <mergeCell ref="A28:G30"/>
    <mergeCell ref="A32:E34"/>
    <mergeCell ref="AS16:AT16"/>
    <mergeCell ref="AS17:AT17"/>
    <mergeCell ref="S8:T8"/>
    <mergeCell ref="Y8:Z8"/>
    <mergeCell ref="AA8:AB8"/>
    <mergeCell ref="AC8:AD8"/>
    <mergeCell ref="K34:L34"/>
    <mergeCell ref="B48:E48"/>
    <mergeCell ref="A92:A96"/>
    <mergeCell ref="B92:H96"/>
    <mergeCell ref="B79:E79"/>
    <mergeCell ref="B80:E80"/>
    <mergeCell ref="B81:E81"/>
    <mergeCell ref="I5:L5"/>
    <mergeCell ref="B55:E55"/>
    <mergeCell ref="B56:E56"/>
    <mergeCell ref="B75:E75"/>
    <mergeCell ref="B90:E90"/>
    <mergeCell ref="B72:E72"/>
    <mergeCell ref="B73:E73"/>
    <mergeCell ref="B74:E74"/>
    <mergeCell ref="B91:H91"/>
    <mergeCell ref="B58:E58"/>
    <mergeCell ref="B59:E59"/>
    <mergeCell ref="B60:E60"/>
    <mergeCell ref="B61:E61"/>
    <mergeCell ref="B62:E62"/>
    <mergeCell ref="B63:E63"/>
    <mergeCell ref="B35:E35"/>
    <mergeCell ref="B41:E41"/>
    <mergeCell ref="B46:E46"/>
    <mergeCell ref="B89:E89"/>
    <mergeCell ref="AM9:AN9"/>
    <mergeCell ref="AM10:AN10"/>
    <mergeCell ref="AM11:AN11"/>
    <mergeCell ref="AM12:AN12"/>
    <mergeCell ref="AG8:AH8"/>
    <mergeCell ref="AK8:AL8"/>
    <mergeCell ref="AM8:AN8"/>
    <mergeCell ref="AO8:AP8"/>
    <mergeCell ref="AQ8:AR8"/>
    <mergeCell ref="AS9:AT9"/>
    <mergeCell ref="AS10:AT10"/>
    <mergeCell ref="AS11:AT11"/>
    <mergeCell ref="AS12:AT12"/>
    <mergeCell ref="AE8:AF8"/>
    <mergeCell ref="O8:P8"/>
    <mergeCell ref="Q8:R8"/>
    <mergeCell ref="U8:V8"/>
    <mergeCell ref="W8:X8"/>
    <mergeCell ref="AS8:AT8"/>
    <mergeCell ref="K32:L32"/>
    <mergeCell ref="K23:L23"/>
    <mergeCell ref="K24:L24"/>
    <mergeCell ref="K25:L25"/>
    <mergeCell ref="K26:L26"/>
    <mergeCell ref="K27:L27"/>
    <mergeCell ref="K18:L18"/>
    <mergeCell ref="K19:L19"/>
    <mergeCell ref="K20:L20"/>
    <mergeCell ref="K21:L21"/>
    <mergeCell ref="K22:L22"/>
    <mergeCell ref="B87:E87"/>
    <mergeCell ref="K11:L11"/>
    <mergeCell ref="K12:L12"/>
    <mergeCell ref="Y9:Z9"/>
    <mergeCell ref="Y10:Z10"/>
    <mergeCell ref="Y11:Z11"/>
    <mergeCell ref="Y12:Z12"/>
    <mergeCell ref="B70:E70"/>
    <mergeCell ref="B71:E71"/>
    <mergeCell ref="B82:E82"/>
    <mergeCell ref="B83:E83"/>
    <mergeCell ref="B84:E84"/>
    <mergeCell ref="B85:E85"/>
    <mergeCell ref="B86:E86"/>
    <mergeCell ref="B14:E14"/>
    <mergeCell ref="B15:E15"/>
    <mergeCell ref="B16:E16"/>
    <mergeCell ref="B17:E17"/>
    <mergeCell ref="B18:E18"/>
    <mergeCell ref="B19:E19"/>
    <mergeCell ref="B20:E20"/>
    <mergeCell ref="K9:L9"/>
    <mergeCell ref="K10:L10"/>
    <mergeCell ref="K95:L95"/>
    <mergeCell ref="K96:L96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K88:L88"/>
    <mergeCell ref="K89:L89"/>
    <mergeCell ref="K90:L90"/>
    <mergeCell ref="K91:L91"/>
    <mergeCell ref="K92:L92"/>
    <mergeCell ref="K85:L85"/>
    <mergeCell ref="K86:L86"/>
    <mergeCell ref="K87:L87"/>
    <mergeCell ref="K70:L70"/>
    <mergeCell ref="K71:L71"/>
    <mergeCell ref="K82:L82"/>
    <mergeCell ref="K83:L83"/>
    <mergeCell ref="K35:L35"/>
    <mergeCell ref="K36:L36"/>
    <mergeCell ref="K37:L37"/>
    <mergeCell ref="K28:L28"/>
    <mergeCell ref="M20:N20"/>
    <mergeCell ref="M21:N21"/>
    <mergeCell ref="M22:N22"/>
    <mergeCell ref="M23:N23"/>
    <mergeCell ref="M24:N24"/>
    <mergeCell ref="K93:L93"/>
    <mergeCell ref="K94:L94"/>
    <mergeCell ref="K49:L49"/>
    <mergeCell ref="K50:L50"/>
    <mergeCell ref="K51:L51"/>
    <mergeCell ref="K52:L52"/>
    <mergeCell ref="K43:L43"/>
    <mergeCell ref="K44:L44"/>
    <mergeCell ref="K45:L45"/>
    <mergeCell ref="K46:L46"/>
    <mergeCell ref="K47:L47"/>
    <mergeCell ref="K38:L38"/>
    <mergeCell ref="K39:L39"/>
    <mergeCell ref="K40:L40"/>
    <mergeCell ref="K41:L41"/>
    <mergeCell ref="K42:L42"/>
    <mergeCell ref="K33:L33"/>
    <mergeCell ref="M66:N66"/>
    <mergeCell ref="M50:N50"/>
    <mergeCell ref="M51:N51"/>
    <mergeCell ref="M30:N30"/>
    <mergeCell ref="M31:N31"/>
    <mergeCell ref="M32:N32"/>
    <mergeCell ref="M33:N33"/>
    <mergeCell ref="K29:L29"/>
    <mergeCell ref="K30:L30"/>
    <mergeCell ref="K31:L31"/>
    <mergeCell ref="M54:N54"/>
    <mergeCell ref="M45:N45"/>
    <mergeCell ref="M46:N46"/>
    <mergeCell ref="M47:N47"/>
    <mergeCell ref="M48:N48"/>
    <mergeCell ref="M49:N49"/>
    <mergeCell ref="M40:N40"/>
    <mergeCell ref="M41:N41"/>
    <mergeCell ref="M42:N42"/>
    <mergeCell ref="M43:N43"/>
    <mergeCell ref="M44:N44"/>
    <mergeCell ref="M35:N35"/>
    <mergeCell ref="M36:N36"/>
    <mergeCell ref="M37:N37"/>
    <mergeCell ref="M38:N38"/>
    <mergeCell ref="M39:N39"/>
    <mergeCell ref="K84:L84"/>
    <mergeCell ref="K53:L53"/>
    <mergeCell ref="K54:L54"/>
    <mergeCell ref="K55:L55"/>
    <mergeCell ref="K56:L56"/>
    <mergeCell ref="K57:L57"/>
    <mergeCell ref="K48:L48"/>
    <mergeCell ref="M58:N58"/>
    <mergeCell ref="M59:N59"/>
    <mergeCell ref="M60:N60"/>
    <mergeCell ref="M61:N61"/>
    <mergeCell ref="M62:N62"/>
    <mergeCell ref="M63:N63"/>
    <mergeCell ref="M64:N64"/>
    <mergeCell ref="M65:N65"/>
    <mergeCell ref="M52:N52"/>
    <mergeCell ref="M53:N53"/>
    <mergeCell ref="O26:P26"/>
    <mergeCell ref="O27:P27"/>
    <mergeCell ref="O35:P35"/>
    <mergeCell ref="O36:P36"/>
    <mergeCell ref="O37:P37"/>
    <mergeCell ref="O45:P45"/>
    <mergeCell ref="O46:P46"/>
    <mergeCell ref="O47:P47"/>
    <mergeCell ref="M26:N26"/>
    <mergeCell ref="M27:N27"/>
    <mergeCell ref="M28:N28"/>
    <mergeCell ref="M29:N29"/>
    <mergeCell ref="Q26:R26"/>
    <mergeCell ref="Q27:R27"/>
    <mergeCell ref="M95:N95"/>
    <mergeCell ref="M96:N96"/>
    <mergeCell ref="M90:N90"/>
    <mergeCell ref="M91:N91"/>
    <mergeCell ref="M92:N92"/>
    <mergeCell ref="M93:N93"/>
    <mergeCell ref="M94:N94"/>
    <mergeCell ref="M86:N86"/>
    <mergeCell ref="M87:N87"/>
    <mergeCell ref="M88:N88"/>
    <mergeCell ref="M89:N89"/>
    <mergeCell ref="M82:N82"/>
    <mergeCell ref="M83:N83"/>
    <mergeCell ref="M84:N84"/>
    <mergeCell ref="M85:N85"/>
    <mergeCell ref="M55:N55"/>
    <mergeCell ref="M56:N56"/>
    <mergeCell ref="M57:N57"/>
    <mergeCell ref="Q36:R36"/>
    <mergeCell ref="Q37:R37"/>
    <mergeCell ref="O55:P55"/>
    <mergeCell ref="O56:P56"/>
    <mergeCell ref="O57:P57"/>
    <mergeCell ref="Q53:R53"/>
    <mergeCell ref="Q54:R54"/>
    <mergeCell ref="Q55:R55"/>
    <mergeCell ref="Q56:R56"/>
    <mergeCell ref="Q57:R57"/>
    <mergeCell ref="O48:P48"/>
    <mergeCell ref="O49:P49"/>
    <mergeCell ref="O50:P50"/>
    <mergeCell ref="O51:P51"/>
    <mergeCell ref="O52:P52"/>
    <mergeCell ref="Q48:R48"/>
    <mergeCell ref="Q49:R49"/>
    <mergeCell ref="Q50:R50"/>
    <mergeCell ref="Q51:R51"/>
    <mergeCell ref="Q52:R52"/>
    <mergeCell ref="O28:P28"/>
    <mergeCell ref="O29:P29"/>
    <mergeCell ref="O30:P30"/>
    <mergeCell ref="O31:P31"/>
    <mergeCell ref="O32:P32"/>
    <mergeCell ref="Q28:R28"/>
    <mergeCell ref="Q29:R29"/>
    <mergeCell ref="Q30:R30"/>
    <mergeCell ref="Q31:R31"/>
    <mergeCell ref="Q32:R32"/>
    <mergeCell ref="O43:P43"/>
    <mergeCell ref="O44:P44"/>
    <mergeCell ref="Q43:R43"/>
    <mergeCell ref="Q44:R44"/>
    <mergeCell ref="Q45:R45"/>
    <mergeCell ref="Q46:R46"/>
    <mergeCell ref="Q47:R47"/>
    <mergeCell ref="O38:P38"/>
    <mergeCell ref="O39:P39"/>
    <mergeCell ref="O40:P40"/>
    <mergeCell ref="O41:P41"/>
    <mergeCell ref="O42:P42"/>
    <mergeCell ref="Q38:R38"/>
    <mergeCell ref="Q39:R39"/>
    <mergeCell ref="Q40:R40"/>
    <mergeCell ref="Q41:R41"/>
    <mergeCell ref="Q42:R42"/>
    <mergeCell ref="O33:P33"/>
    <mergeCell ref="O34:P34"/>
    <mergeCell ref="Q33:R33"/>
    <mergeCell ref="Q34:R34"/>
    <mergeCell ref="Q35:R35"/>
    <mergeCell ref="O20:P20"/>
    <mergeCell ref="O88:P88"/>
    <mergeCell ref="O89:P89"/>
    <mergeCell ref="O90:P90"/>
    <mergeCell ref="O91:P91"/>
    <mergeCell ref="O92:P92"/>
    <mergeCell ref="Q88:R88"/>
    <mergeCell ref="Q89:R89"/>
    <mergeCell ref="Q90:R90"/>
    <mergeCell ref="Q91:R91"/>
    <mergeCell ref="Q92:R92"/>
    <mergeCell ref="Q69:R69"/>
    <mergeCell ref="O85:P85"/>
    <mergeCell ref="O86:P86"/>
    <mergeCell ref="O87:P87"/>
    <mergeCell ref="Q85:R85"/>
    <mergeCell ref="Q86:R86"/>
    <mergeCell ref="Q87:R87"/>
    <mergeCell ref="Q64:R64"/>
    <mergeCell ref="O70:P70"/>
    <mergeCell ref="O71:P71"/>
    <mergeCell ref="O82:P82"/>
    <mergeCell ref="O83:P83"/>
    <mergeCell ref="O84:P84"/>
    <mergeCell ref="Q70:R70"/>
    <mergeCell ref="Q71:R71"/>
    <mergeCell ref="Q82:R82"/>
    <mergeCell ref="Q83:R83"/>
    <mergeCell ref="Q84:R84"/>
    <mergeCell ref="Q58:R58"/>
    <mergeCell ref="O53:P53"/>
    <mergeCell ref="O54:P54"/>
    <mergeCell ref="O93:P93"/>
    <mergeCell ref="O94:P94"/>
    <mergeCell ref="O95:P95"/>
    <mergeCell ref="O96:P96"/>
    <mergeCell ref="Q9:R9"/>
    <mergeCell ref="Q10:R10"/>
    <mergeCell ref="Q11:R11"/>
    <mergeCell ref="Q12:R12"/>
    <mergeCell ref="Q13:R13"/>
    <mergeCell ref="Q14:R14"/>
    <mergeCell ref="Q15:R15"/>
    <mergeCell ref="Q16:R16"/>
    <mergeCell ref="Q17:R17"/>
    <mergeCell ref="Q18:R18"/>
    <mergeCell ref="Q19:R19"/>
    <mergeCell ref="Q20:R20"/>
    <mergeCell ref="O21:P21"/>
    <mergeCell ref="O22:P22"/>
    <mergeCell ref="O23:P23"/>
    <mergeCell ref="O24:P24"/>
    <mergeCell ref="O25:P25"/>
    <mergeCell ref="O9:P9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S21:T21"/>
    <mergeCell ref="S22:T22"/>
    <mergeCell ref="S23:T23"/>
    <mergeCell ref="S24:T24"/>
    <mergeCell ref="S25:T25"/>
    <mergeCell ref="Q93:R93"/>
    <mergeCell ref="Q94:R94"/>
    <mergeCell ref="Q95:R95"/>
    <mergeCell ref="Q96:R96"/>
    <mergeCell ref="S9:T9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Q21:R21"/>
    <mergeCell ref="Q22:R22"/>
    <mergeCell ref="Q23:R23"/>
    <mergeCell ref="Q24:R24"/>
    <mergeCell ref="Q25:R25"/>
    <mergeCell ref="S41:T41"/>
    <mergeCell ref="S42:T42"/>
    <mergeCell ref="S43:T43"/>
    <mergeCell ref="S44:T44"/>
    <mergeCell ref="S45:T45"/>
    <mergeCell ref="S36:T36"/>
    <mergeCell ref="S37:T37"/>
    <mergeCell ref="S38:T38"/>
    <mergeCell ref="S39:T39"/>
    <mergeCell ref="S40:T40"/>
    <mergeCell ref="S31:T31"/>
    <mergeCell ref="S32:T32"/>
    <mergeCell ref="S33:T33"/>
    <mergeCell ref="S34:T34"/>
    <mergeCell ref="S35:T35"/>
    <mergeCell ref="S26:T26"/>
    <mergeCell ref="S27:T27"/>
    <mergeCell ref="S28:T28"/>
    <mergeCell ref="S29:T29"/>
    <mergeCell ref="S30:T30"/>
    <mergeCell ref="S84:T84"/>
    <mergeCell ref="S85:T85"/>
    <mergeCell ref="S56:T56"/>
    <mergeCell ref="S57:T57"/>
    <mergeCell ref="S70:T70"/>
    <mergeCell ref="S71:T71"/>
    <mergeCell ref="S82:T82"/>
    <mergeCell ref="S51:T51"/>
    <mergeCell ref="S52:T52"/>
    <mergeCell ref="S53:T53"/>
    <mergeCell ref="S54:T54"/>
    <mergeCell ref="S55:T55"/>
    <mergeCell ref="S46:T46"/>
    <mergeCell ref="S47:T47"/>
    <mergeCell ref="S48:T48"/>
    <mergeCell ref="S49:T49"/>
    <mergeCell ref="S50:T50"/>
    <mergeCell ref="U24:V24"/>
    <mergeCell ref="U25:V25"/>
    <mergeCell ref="U26:V26"/>
    <mergeCell ref="U27:V27"/>
    <mergeCell ref="U28:V28"/>
    <mergeCell ref="S96:T96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U18:V18"/>
    <mergeCell ref="U19:V19"/>
    <mergeCell ref="U20:V20"/>
    <mergeCell ref="U21:V21"/>
    <mergeCell ref="U22:V22"/>
    <mergeCell ref="U23:V23"/>
    <mergeCell ref="S91:T91"/>
    <mergeCell ref="S92:T92"/>
    <mergeCell ref="S93:T93"/>
    <mergeCell ref="S94:T94"/>
    <mergeCell ref="S95:T95"/>
    <mergeCell ref="S86:T86"/>
    <mergeCell ref="S87:T87"/>
    <mergeCell ref="S88:T88"/>
    <mergeCell ref="S89:T89"/>
    <mergeCell ref="S90:T90"/>
    <mergeCell ref="S83:T83"/>
    <mergeCell ref="U44:V44"/>
    <mergeCell ref="U45:V45"/>
    <mergeCell ref="U46:V46"/>
    <mergeCell ref="U47:V47"/>
    <mergeCell ref="U48:V48"/>
    <mergeCell ref="U39:V39"/>
    <mergeCell ref="U40:V40"/>
    <mergeCell ref="U41:V41"/>
    <mergeCell ref="U42:V42"/>
    <mergeCell ref="U43:V43"/>
    <mergeCell ref="U34:V34"/>
    <mergeCell ref="U35:V35"/>
    <mergeCell ref="U36:V36"/>
    <mergeCell ref="U37:V37"/>
    <mergeCell ref="U38:V38"/>
    <mergeCell ref="U29:V29"/>
    <mergeCell ref="U30:V30"/>
    <mergeCell ref="U31:V31"/>
    <mergeCell ref="U32:V32"/>
    <mergeCell ref="U33:V33"/>
    <mergeCell ref="U96:V96"/>
    <mergeCell ref="W9:X9"/>
    <mergeCell ref="W10:X10"/>
    <mergeCell ref="W11:X11"/>
    <mergeCell ref="W12:X12"/>
    <mergeCell ref="W13:X13"/>
    <mergeCell ref="W14:X14"/>
    <mergeCell ref="W15:X15"/>
    <mergeCell ref="W16:X16"/>
    <mergeCell ref="W17:X17"/>
    <mergeCell ref="W18:X18"/>
    <mergeCell ref="W19:X19"/>
    <mergeCell ref="W20:X20"/>
    <mergeCell ref="W21:X21"/>
    <mergeCell ref="U89:V89"/>
    <mergeCell ref="U90:V90"/>
    <mergeCell ref="U91:V91"/>
    <mergeCell ref="U92:V92"/>
    <mergeCell ref="U93:V93"/>
    <mergeCell ref="U86:V86"/>
    <mergeCell ref="U87:V87"/>
    <mergeCell ref="U88:V88"/>
    <mergeCell ref="U71:V71"/>
    <mergeCell ref="U82:V82"/>
    <mergeCell ref="U83:V83"/>
    <mergeCell ref="U84:V84"/>
    <mergeCell ref="U85:V85"/>
    <mergeCell ref="U54:V54"/>
    <mergeCell ref="U55:V55"/>
    <mergeCell ref="U56:V56"/>
    <mergeCell ref="U57:V57"/>
    <mergeCell ref="U70:V70"/>
    <mergeCell ref="W32:X32"/>
    <mergeCell ref="W33:X33"/>
    <mergeCell ref="W34:X34"/>
    <mergeCell ref="W35:X35"/>
    <mergeCell ref="W36:X36"/>
    <mergeCell ref="W27:X27"/>
    <mergeCell ref="W28:X28"/>
    <mergeCell ref="W29:X29"/>
    <mergeCell ref="W30:X30"/>
    <mergeCell ref="W31:X31"/>
    <mergeCell ref="W22:X22"/>
    <mergeCell ref="W23:X23"/>
    <mergeCell ref="W24:X24"/>
    <mergeCell ref="W25:X25"/>
    <mergeCell ref="W26:X26"/>
    <mergeCell ref="U94:V94"/>
    <mergeCell ref="U95:V95"/>
    <mergeCell ref="U58:V58"/>
    <mergeCell ref="U59:V59"/>
    <mergeCell ref="U60:V60"/>
    <mergeCell ref="U61:V61"/>
    <mergeCell ref="U62:V62"/>
    <mergeCell ref="U63:V63"/>
    <mergeCell ref="U64:V64"/>
    <mergeCell ref="U65:V65"/>
    <mergeCell ref="U66:V66"/>
    <mergeCell ref="U67:V67"/>
    <mergeCell ref="U49:V49"/>
    <mergeCell ref="U50:V50"/>
    <mergeCell ref="U51:V51"/>
    <mergeCell ref="U52:V52"/>
    <mergeCell ref="U53:V53"/>
    <mergeCell ref="W52:X52"/>
    <mergeCell ref="W53:X53"/>
    <mergeCell ref="W54:X54"/>
    <mergeCell ref="W55:X55"/>
    <mergeCell ref="W56:X56"/>
    <mergeCell ref="W47:X47"/>
    <mergeCell ref="W48:X48"/>
    <mergeCell ref="W49:X49"/>
    <mergeCell ref="W50:X50"/>
    <mergeCell ref="W51:X51"/>
    <mergeCell ref="W42:X42"/>
    <mergeCell ref="W43:X43"/>
    <mergeCell ref="W44:X44"/>
    <mergeCell ref="W45:X45"/>
    <mergeCell ref="W46:X46"/>
    <mergeCell ref="W37:X37"/>
    <mergeCell ref="W38:X38"/>
    <mergeCell ref="W39:X39"/>
    <mergeCell ref="W40:X40"/>
    <mergeCell ref="W41:X41"/>
    <mergeCell ref="W92:X92"/>
    <mergeCell ref="W93:X93"/>
    <mergeCell ref="W94:X94"/>
    <mergeCell ref="W95:X95"/>
    <mergeCell ref="W96:X96"/>
    <mergeCell ref="W87:X87"/>
    <mergeCell ref="W88:X88"/>
    <mergeCell ref="W89:X89"/>
    <mergeCell ref="W90:X90"/>
    <mergeCell ref="W91:X91"/>
    <mergeCell ref="W84:X84"/>
    <mergeCell ref="W85:X85"/>
    <mergeCell ref="W86:X86"/>
    <mergeCell ref="W57:X57"/>
    <mergeCell ref="W70:X70"/>
    <mergeCell ref="W71:X71"/>
    <mergeCell ref="W82:X82"/>
    <mergeCell ref="W83:X83"/>
    <mergeCell ref="Y28:Z28"/>
    <mergeCell ref="Y29:Z29"/>
    <mergeCell ref="Y30:Z30"/>
    <mergeCell ref="Y31:Z31"/>
    <mergeCell ref="Y32:Z32"/>
    <mergeCell ref="Y23:Z23"/>
    <mergeCell ref="Y24:Z24"/>
    <mergeCell ref="Y25:Z25"/>
    <mergeCell ref="Y26:Z26"/>
    <mergeCell ref="Y27:Z27"/>
    <mergeCell ref="Y18:Z18"/>
    <mergeCell ref="Y19:Z19"/>
    <mergeCell ref="Y20:Z20"/>
    <mergeCell ref="Y21:Z21"/>
    <mergeCell ref="Y22:Z22"/>
    <mergeCell ref="Y13:Z13"/>
    <mergeCell ref="Y14:Z14"/>
    <mergeCell ref="Y15:Z15"/>
    <mergeCell ref="Y16:Z16"/>
    <mergeCell ref="Y17:Z17"/>
    <mergeCell ref="Y48:Z48"/>
    <mergeCell ref="Y49:Z49"/>
    <mergeCell ref="Y50:Z50"/>
    <mergeCell ref="Y51:Z51"/>
    <mergeCell ref="Y52:Z52"/>
    <mergeCell ref="Y43:Z43"/>
    <mergeCell ref="Y44:Z44"/>
    <mergeCell ref="Y45:Z45"/>
    <mergeCell ref="Y46:Z46"/>
    <mergeCell ref="Y47:Z47"/>
    <mergeCell ref="Y38:Z38"/>
    <mergeCell ref="Y39:Z39"/>
    <mergeCell ref="Y40:Z40"/>
    <mergeCell ref="Y41:Z41"/>
    <mergeCell ref="Y42:Z42"/>
    <mergeCell ref="Y33:Z33"/>
    <mergeCell ref="Y34:Z34"/>
    <mergeCell ref="Y35:Z35"/>
    <mergeCell ref="Y36:Z36"/>
    <mergeCell ref="Y37:Z37"/>
    <mergeCell ref="Y87:Z87"/>
    <mergeCell ref="Y70:Z70"/>
    <mergeCell ref="Y71:Z71"/>
    <mergeCell ref="Y82:Z82"/>
    <mergeCell ref="Y83:Z83"/>
    <mergeCell ref="Y84:Z84"/>
    <mergeCell ref="Y74:Z74"/>
    <mergeCell ref="Y75:Z75"/>
    <mergeCell ref="Y76:Z76"/>
    <mergeCell ref="Y77:Z77"/>
    <mergeCell ref="Y78:Z78"/>
    <mergeCell ref="Y79:Z79"/>
    <mergeCell ref="Y80:Z80"/>
    <mergeCell ref="Y81:Z81"/>
    <mergeCell ref="Y53:Z53"/>
    <mergeCell ref="Y54:Z54"/>
    <mergeCell ref="Y55:Z55"/>
    <mergeCell ref="Y56:Z56"/>
    <mergeCell ref="Y57:Z57"/>
    <mergeCell ref="Y58:Z58"/>
    <mergeCell ref="Y61:Z61"/>
    <mergeCell ref="Y62:Z62"/>
    <mergeCell ref="Y67:Z67"/>
    <mergeCell ref="Y68:Z68"/>
    <mergeCell ref="Y69:Z69"/>
    <mergeCell ref="Y72:Z72"/>
    <mergeCell ref="Y73:Z73"/>
    <mergeCell ref="Y63:Z63"/>
    <mergeCell ref="Y64:Z64"/>
    <mergeCell ref="Y65:Z65"/>
    <mergeCell ref="Y66:Z66"/>
    <mergeCell ref="Y59:Z59"/>
    <mergeCell ref="AA25:AB25"/>
    <mergeCell ref="AA26:AB26"/>
    <mergeCell ref="AA27:AB27"/>
    <mergeCell ref="AA28:AB28"/>
    <mergeCell ref="AA29:AB29"/>
    <mergeCell ref="AA20:AB20"/>
    <mergeCell ref="AA21:AB21"/>
    <mergeCell ref="AA22:AB22"/>
    <mergeCell ref="AA23:AB23"/>
    <mergeCell ref="AA24:AB24"/>
    <mergeCell ref="Y93:Z93"/>
    <mergeCell ref="Y94:Z94"/>
    <mergeCell ref="Y95:Z95"/>
    <mergeCell ref="Y96:Z96"/>
    <mergeCell ref="AA9:AB9"/>
    <mergeCell ref="AA10:AB10"/>
    <mergeCell ref="AA11:AB11"/>
    <mergeCell ref="AA12:AB12"/>
    <mergeCell ref="AA13:AB13"/>
    <mergeCell ref="AA14:AB14"/>
    <mergeCell ref="AA15:AB15"/>
    <mergeCell ref="AA16:AB16"/>
    <mergeCell ref="AA17:AB17"/>
    <mergeCell ref="AA18:AB18"/>
    <mergeCell ref="AA19:AB19"/>
    <mergeCell ref="Y88:Z88"/>
    <mergeCell ref="Y89:Z89"/>
    <mergeCell ref="Y90:Z90"/>
    <mergeCell ref="Y91:Z91"/>
    <mergeCell ref="Y92:Z92"/>
    <mergeCell ref="Y85:Z85"/>
    <mergeCell ref="Y86:Z86"/>
    <mergeCell ref="AA45:AB45"/>
    <mergeCell ref="AA46:AB46"/>
    <mergeCell ref="AA47:AB47"/>
    <mergeCell ref="AA48:AB48"/>
    <mergeCell ref="AA49:AB49"/>
    <mergeCell ref="AA40:AB40"/>
    <mergeCell ref="AA41:AB41"/>
    <mergeCell ref="AA42:AB42"/>
    <mergeCell ref="AA43:AB43"/>
    <mergeCell ref="AA44:AB44"/>
    <mergeCell ref="AA35:AB35"/>
    <mergeCell ref="AA36:AB36"/>
    <mergeCell ref="AA37:AB37"/>
    <mergeCell ref="AA38:AB38"/>
    <mergeCell ref="AA39:AB39"/>
    <mergeCell ref="AA30:AB30"/>
    <mergeCell ref="AA31:AB31"/>
    <mergeCell ref="AA32:AB32"/>
    <mergeCell ref="AA33:AB33"/>
    <mergeCell ref="AA34:AB34"/>
    <mergeCell ref="AA87:AB87"/>
    <mergeCell ref="AA88:AB88"/>
    <mergeCell ref="AA89:AB89"/>
    <mergeCell ref="AA82:AB82"/>
    <mergeCell ref="AA83:AB83"/>
    <mergeCell ref="AA84:AB84"/>
    <mergeCell ref="AA85:AB85"/>
    <mergeCell ref="AA55:AB55"/>
    <mergeCell ref="AA56:AB56"/>
    <mergeCell ref="AA57:AB57"/>
    <mergeCell ref="AA70:AB70"/>
    <mergeCell ref="AA71:AB71"/>
    <mergeCell ref="AA50:AB50"/>
    <mergeCell ref="AA51:AB51"/>
    <mergeCell ref="AA52:AB52"/>
    <mergeCell ref="AA53:AB53"/>
    <mergeCell ref="AA54:AB54"/>
    <mergeCell ref="AC28:AD28"/>
    <mergeCell ref="AC29:AD29"/>
    <mergeCell ref="AC30:AD30"/>
    <mergeCell ref="AC31:AD31"/>
    <mergeCell ref="AC32:AD32"/>
    <mergeCell ref="AC23:AD23"/>
    <mergeCell ref="AC24:AD24"/>
    <mergeCell ref="AC25:AD25"/>
    <mergeCell ref="AC26:AD26"/>
    <mergeCell ref="AC27:AD27"/>
    <mergeCell ref="AA95:AB95"/>
    <mergeCell ref="AA96:AB96"/>
    <mergeCell ref="AC9:AD9"/>
    <mergeCell ref="AC10:AD10"/>
    <mergeCell ref="AC11:AD11"/>
    <mergeCell ref="AC12:AD12"/>
    <mergeCell ref="AC13:AD13"/>
    <mergeCell ref="AC14:AD14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A90:AB90"/>
    <mergeCell ref="AA91:AB91"/>
    <mergeCell ref="AA92:AB92"/>
    <mergeCell ref="AA93:AB93"/>
    <mergeCell ref="AA94:AB94"/>
    <mergeCell ref="AA86:AB86"/>
    <mergeCell ref="AC48:AD48"/>
    <mergeCell ref="AC49:AD49"/>
    <mergeCell ref="AC50:AD50"/>
    <mergeCell ref="AC51:AD51"/>
    <mergeCell ref="AC52:AD52"/>
    <mergeCell ref="AC43:AD43"/>
    <mergeCell ref="AC44:AD44"/>
    <mergeCell ref="AC45:AD45"/>
    <mergeCell ref="AC46:AD46"/>
    <mergeCell ref="AC47:AD47"/>
    <mergeCell ref="AC38:AD38"/>
    <mergeCell ref="AC39:AD39"/>
    <mergeCell ref="AC40:AD40"/>
    <mergeCell ref="AC41:AD41"/>
    <mergeCell ref="AC42:AD42"/>
    <mergeCell ref="AC33:AD33"/>
    <mergeCell ref="AC34:AD34"/>
    <mergeCell ref="AC35:AD35"/>
    <mergeCell ref="AC36:AD36"/>
    <mergeCell ref="AC37:AD37"/>
    <mergeCell ref="AC86:AD86"/>
    <mergeCell ref="AC87:AD87"/>
    <mergeCell ref="AC70:AD70"/>
    <mergeCell ref="AC71:AD71"/>
    <mergeCell ref="AC82:AD82"/>
    <mergeCell ref="AC83:AD83"/>
    <mergeCell ref="AC84:AD84"/>
    <mergeCell ref="AC75:AD75"/>
    <mergeCell ref="AC76:AD76"/>
    <mergeCell ref="AC77:AD77"/>
    <mergeCell ref="AC78:AD78"/>
    <mergeCell ref="AC79:AD79"/>
    <mergeCell ref="AC80:AD80"/>
    <mergeCell ref="AC81:AD81"/>
    <mergeCell ref="AC53:AD53"/>
    <mergeCell ref="AC54:AD54"/>
    <mergeCell ref="AC55:AD55"/>
    <mergeCell ref="AC56:AD56"/>
    <mergeCell ref="AC57:AD57"/>
    <mergeCell ref="AC66:AD66"/>
    <mergeCell ref="AC67:AD67"/>
    <mergeCell ref="AC63:AD63"/>
    <mergeCell ref="AE26:AF26"/>
    <mergeCell ref="AE27:AF27"/>
    <mergeCell ref="AE28:AF28"/>
    <mergeCell ref="AE29:AF29"/>
    <mergeCell ref="AE30:AF30"/>
    <mergeCell ref="AE21:AF21"/>
    <mergeCell ref="AE22:AF22"/>
    <mergeCell ref="AE23:AF23"/>
    <mergeCell ref="AE24:AF24"/>
    <mergeCell ref="AE25:AF25"/>
    <mergeCell ref="AC93:AD93"/>
    <mergeCell ref="AC94:AD94"/>
    <mergeCell ref="AC95:AD95"/>
    <mergeCell ref="AC96:AD96"/>
    <mergeCell ref="AE9:AF9"/>
    <mergeCell ref="AE10:AF10"/>
    <mergeCell ref="AE11:AF11"/>
    <mergeCell ref="AE12:AF12"/>
    <mergeCell ref="AE13:AF13"/>
    <mergeCell ref="AE14:AF14"/>
    <mergeCell ref="AE15:AF15"/>
    <mergeCell ref="AE16:AF16"/>
    <mergeCell ref="AE17:AF17"/>
    <mergeCell ref="AE18:AF18"/>
    <mergeCell ref="AE19:AF19"/>
    <mergeCell ref="AE20:AF20"/>
    <mergeCell ref="AC88:AD88"/>
    <mergeCell ref="AC89:AD89"/>
    <mergeCell ref="AC90:AD90"/>
    <mergeCell ref="AC91:AD91"/>
    <mergeCell ref="AC92:AD92"/>
    <mergeCell ref="AC85:AD85"/>
    <mergeCell ref="AE46:AF46"/>
    <mergeCell ref="AE47:AF47"/>
    <mergeCell ref="AE48:AF48"/>
    <mergeCell ref="AE49:AF49"/>
    <mergeCell ref="AE50:AF50"/>
    <mergeCell ref="AE41:AF41"/>
    <mergeCell ref="AE42:AF42"/>
    <mergeCell ref="AE43:AF43"/>
    <mergeCell ref="AE44:AF44"/>
    <mergeCell ref="AE45:AF45"/>
    <mergeCell ref="AE36:AF36"/>
    <mergeCell ref="AE37:AF37"/>
    <mergeCell ref="AE38:AF38"/>
    <mergeCell ref="AE39:AF39"/>
    <mergeCell ref="AE40:AF40"/>
    <mergeCell ref="AE31:AF31"/>
    <mergeCell ref="AE32:AF32"/>
    <mergeCell ref="AE33:AF33"/>
    <mergeCell ref="AE34:AF34"/>
    <mergeCell ref="AE35:AF35"/>
    <mergeCell ref="AE87:AF87"/>
    <mergeCell ref="AE88:AF88"/>
    <mergeCell ref="AE89:AF89"/>
    <mergeCell ref="AE90:AF90"/>
    <mergeCell ref="AE83:AF83"/>
    <mergeCell ref="AE84:AF84"/>
    <mergeCell ref="AE85:AF85"/>
    <mergeCell ref="AE56:AF56"/>
    <mergeCell ref="AE57:AF57"/>
    <mergeCell ref="AE70:AF70"/>
    <mergeCell ref="AE71:AF71"/>
    <mergeCell ref="AE82:AF82"/>
    <mergeCell ref="AE51:AF51"/>
    <mergeCell ref="AE52:AF52"/>
    <mergeCell ref="AE53:AF53"/>
    <mergeCell ref="AE54:AF54"/>
    <mergeCell ref="AE55:AF55"/>
    <mergeCell ref="AG29:AH29"/>
    <mergeCell ref="AG30:AH30"/>
    <mergeCell ref="AG31:AH31"/>
    <mergeCell ref="AG32:AH32"/>
    <mergeCell ref="AG33:AH33"/>
    <mergeCell ref="AG24:AH24"/>
    <mergeCell ref="AG25:AH25"/>
    <mergeCell ref="AG26:AH26"/>
    <mergeCell ref="AG27:AH27"/>
    <mergeCell ref="AG28:AH28"/>
    <mergeCell ref="AE96:AF96"/>
    <mergeCell ref="AG9:AH9"/>
    <mergeCell ref="AG10:AH10"/>
    <mergeCell ref="AG11:AH11"/>
    <mergeCell ref="AG12:AH12"/>
    <mergeCell ref="AG13:AH13"/>
    <mergeCell ref="AG14:AH14"/>
    <mergeCell ref="AG15:AH15"/>
    <mergeCell ref="AG16:AH16"/>
    <mergeCell ref="AG17:AH17"/>
    <mergeCell ref="AG18:AH18"/>
    <mergeCell ref="AG19:AH19"/>
    <mergeCell ref="AG20:AH20"/>
    <mergeCell ref="AG21:AH21"/>
    <mergeCell ref="AG22:AH22"/>
    <mergeCell ref="AG23:AH23"/>
    <mergeCell ref="AE91:AF91"/>
    <mergeCell ref="AE92:AF92"/>
    <mergeCell ref="AE93:AF93"/>
    <mergeCell ref="AE94:AF94"/>
    <mergeCell ref="AE95:AF95"/>
    <mergeCell ref="AE86:AF86"/>
    <mergeCell ref="AG49:AH49"/>
    <mergeCell ref="AG50:AH50"/>
    <mergeCell ref="AG51:AH51"/>
    <mergeCell ref="AG52:AH52"/>
    <mergeCell ref="AG53:AH53"/>
    <mergeCell ref="AG44:AH44"/>
    <mergeCell ref="AG45:AH45"/>
    <mergeCell ref="AG46:AH46"/>
    <mergeCell ref="AG47:AH47"/>
    <mergeCell ref="AG48:AH48"/>
    <mergeCell ref="AG39:AH39"/>
    <mergeCell ref="AG40:AH40"/>
    <mergeCell ref="AG41:AH41"/>
    <mergeCell ref="AG42:AH42"/>
    <mergeCell ref="AG43:AH43"/>
    <mergeCell ref="AG34:AH34"/>
    <mergeCell ref="AG35:AH35"/>
    <mergeCell ref="AG36:AH36"/>
    <mergeCell ref="AG37:AH37"/>
    <mergeCell ref="AG38:AH38"/>
    <mergeCell ref="AG96:AH96"/>
    <mergeCell ref="AK9:AL9"/>
    <mergeCell ref="AK10:AL10"/>
    <mergeCell ref="AK11:AL11"/>
    <mergeCell ref="AK12:AL12"/>
    <mergeCell ref="AK13:AL13"/>
    <mergeCell ref="AK14:AL14"/>
    <mergeCell ref="AK15:AL15"/>
    <mergeCell ref="AK16:AL16"/>
    <mergeCell ref="AK17:AL17"/>
    <mergeCell ref="AK18:AL18"/>
    <mergeCell ref="AK19:AL19"/>
    <mergeCell ref="AK20:AL20"/>
    <mergeCell ref="AK21:AL21"/>
    <mergeCell ref="AG89:AH89"/>
    <mergeCell ref="AG90:AH90"/>
    <mergeCell ref="AG91:AH91"/>
    <mergeCell ref="AG92:AH92"/>
    <mergeCell ref="AG93:AH93"/>
    <mergeCell ref="AG86:AH86"/>
    <mergeCell ref="AG87:AH87"/>
    <mergeCell ref="AG88:AH88"/>
    <mergeCell ref="AG71:AH71"/>
    <mergeCell ref="AG82:AH82"/>
    <mergeCell ref="AG83:AH83"/>
    <mergeCell ref="AG84:AH84"/>
    <mergeCell ref="AG85:AH85"/>
    <mergeCell ref="AG72:AH72"/>
    <mergeCell ref="AG73:AH73"/>
    <mergeCell ref="AG74:AH74"/>
    <mergeCell ref="AG75:AH75"/>
    <mergeCell ref="AG76:AH76"/>
    <mergeCell ref="AK32:AL32"/>
    <mergeCell ref="AK33:AL33"/>
    <mergeCell ref="AK34:AL34"/>
    <mergeCell ref="AK35:AL35"/>
    <mergeCell ref="AK36:AL36"/>
    <mergeCell ref="AK27:AL27"/>
    <mergeCell ref="AK28:AL28"/>
    <mergeCell ref="AK29:AL29"/>
    <mergeCell ref="AK30:AL30"/>
    <mergeCell ref="AK31:AL31"/>
    <mergeCell ref="AK22:AL22"/>
    <mergeCell ref="AK23:AL23"/>
    <mergeCell ref="AK24:AL24"/>
    <mergeCell ref="AK25:AL25"/>
    <mergeCell ref="AK26:AL26"/>
    <mergeCell ref="AG94:AH94"/>
    <mergeCell ref="AG95:AH95"/>
    <mergeCell ref="AG77:AH77"/>
    <mergeCell ref="AG78:AH78"/>
    <mergeCell ref="AG79:AH79"/>
    <mergeCell ref="AG80:AH80"/>
    <mergeCell ref="AG81:AH81"/>
    <mergeCell ref="AG54:AH54"/>
    <mergeCell ref="AG55:AH55"/>
    <mergeCell ref="AG56:AH56"/>
    <mergeCell ref="AG57:AH57"/>
    <mergeCell ref="AG70:AH70"/>
    <mergeCell ref="AG63:AH63"/>
    <mergeCell ref="AG64:AH64"/>
    <mergeCell ref="AG65:AH65"/>
    <mergeCell ref="AG66:AH66"/>
    <mergeCell ref="AG67:AH67"/>
    <mergeCell ref="AK94:AL94"/>
    <mergeCell ref="AK95:AL95"/>
    <mergeCell ref="AK96:AL96"/>
    <mergeCell ref="AK87:AL87"/>
    <mergeCell ref="AK88:AL88"/>
    <mergeCell ref="AK89:AL89"/>
    <mergeCell ref="AK90:AL90"/>
    <mergeCell ref="AK91:AL91"/>
    <mergeCell ref="AK84:AL84"/>
    <mergeCell ref="AK85:AL85"/>
    <mergeCell ref="AK86:AL86"/>
    <mergeCell ref="AK57:AL57"/>
    <mergeCell ref="AK70:AL70"/>
    <mergeCell ref="AK71:AL71"/>
    <mergeCell ref="AK82:AL82"/>
    <mergeCell ref="AK83:AL83"/>
    <mergeCell ref="AK52:AL52"/>
    <mergeCell ref="AK53:AL53"/>
    <mergeCell ref="AK54:AL54"/>
    <mergeCell ref="AK55:AL55"/>
    <mergeCell ref="AK56:AL56"/>
    <mergeCell ref="AM23:AN23"/>
    <mergeCell ref="AM24:AN24"/>
    <mergeCell ref="AM25:AN25"/>
    <mergeCell ref="AM26:AN26"/>
    <mergeCell ref="AM27:AN27"/>
    <mergeCell ref="AM18:AN18"/>
    <mergeCell ref="AM19:AN19"/>
    <mergeCell ref="AM20:AN20"/>
    <mergeCell ref="AM21:AN21"/>
    <mergeCell ref="AM22:AN22"/>
    <mergeCell ref="AM13:AN13"/>
    <mergeCell ref="AM14:AN14"/>
    <mergeCell ref="AM15:AN15"/>
    <mergeCell ref="AM16:AN16"/>
    <mergeCell ref="AM17:AN17"/>
    <mergeCell ref="AK92:AL92"/>
    <mergeCell ref="AK93:AL93"/>
    <mergeCell ref="AK47:AL47"/>
    <mergeCell ref="AK48:AL48"/>
    <mergeCell ref="AK49:AL49"/>
    <mergeCell ref="AK50:AL50"/>
    <mergeCell ref="AK51:AL51"/>
    <mergeCell ref="AK42:AL42"/>
    <mergeCell ref="AK43:AL43"/>
    <mergeCell ref="AK44:AL44"/>
    <mergeCell ref="AK45:AL45"/>
    <mergeCell ref="AK46:AL46"/>
    <mergeCell ref="AK37:AL37"/>
    <mergeCell ref="AK38:AL38"/>
    <mergeCell ref="AK39:AL39"/>
    <mergeCell ref="AK40:AL40"/>
    <mergeCell ref="AK41:AL41"/>
    <mergeCell ref="AM43:AN43"/>
    <mergeCell ref="AM44:AN44"/>
    <mergeCell ref="AM45:AN45"/>
    <mergeCell ref="AM46:AN46"/>
    <mergeCell ref="AM47:AN47"/>
    <mergeCell ref="AM38:AN38"/>
    <mergeCell ref="AM39:AN39"/>
    <mergeCell ref="AM40:AN40"/>
    <mergeCell ref="AM41:AN41"/>
    <mergeCell ref="AM42:AN42"/>
    <mergeCell ref="AM33:AN33"/>
    <mergeCell ref="AM34:AN34"/>
    <mergeCell ref="AM35:AN35"/>
    <mergeCell ref="AM36:AN36"/>
    <mergeCell ref="AM37:AN37"/>
    <mergeCell ref="AM28:AN28"/>
    <mergeCell ref="AM29:AN29"/>
    <mergeCell ref="AM30:AN30"/>
    <mergeCell ref="AM31:AN31"/>
    <mergeCell ref="AM32:AN32"/>
    <mergeCell ref="AM95:AN95"/>
    <mergeCell ref="AM96:AN96"/>
    <mergeCell ref="AO9:AP9"/>
    <mergeCell ref="AO10:AP10"/>
    <mergeCell ref="AO11:AP11"/>
    <mergeCell ref="AO12:AP12"/>
    <mergeCell ref="AO13:AP13"/>
    <mergeCell ref="AO14:AP14"/>
    <mergeCell ref="AO15:AP15"/>
    <mergeCell ref="AO16:AP16"/>
    <mergeCell ref="AO17:AP17"/>
    <mergeCell ref="AO18:AP18"/>
    <mergeCell ref="AO19:AP19"/>
    <mergeCell ref="AO20:AP20"/>
    <mergeCell ref="AM88:AN88"/>
    <mergeCell ref="AM89:AN89"/>
    <mergeCell ref="AM90:AN90"/>
    <mergeCell ref="AM91:AN91"/>
    <mergeCell ref="AM92:AN92"/>
    <mergeCell ref="AM85:AN85"/>
    <mergeCell ref="AM86:AN86"/>
    <mergeCell ref="AM87:AN87"/>
    <mergeCell ref="AM70:AN70"/>
    <mergeCell ref="AM71:AN71"/>
    <mergeCell ref="AM82:AN82"/>
    <mergeCell ref="AM83:AN83"/>
    <mergeCell ref="AM84:AN84"/>
    <mergeCell ref="AM74:AN74"/>
    <mergeCell ref="AM75:AN75"/>
    <mergeCell ref="AM76:AN76"/>
    <mergeCell ref="AM77:AN77"/>
    <mergeCell ref="AM78:AN78"/>
    <mergeCell ref="AO31:AP31"/>
    <mergeCell ref="AO32:AP32"/>
    <mergeCell ref="AO33:AP33"/>
    <mergeCell ref="AO34:AP34"/>
    <mergeCell ref="AO35:AP35"/>
    <mergeCell ref="AO26:AP26"/>
    <mergeCell ref="AO27:AP27"/>
    <mergeCell ref="AO28:AP28"/>
    <mergeCell ref="AO29:AP29"/>
    <mergeCell ref="AO30:AP30"/>
    <mergeCell ref="AO21:AP21"/>
    <mergeCell ref="AO22:AP22"/>
    <mergeCell ref="AO23:AP23"/>
    <mergeCell ref="AO24:AP24"/>
    <mergeCell ref="AO25:AP25"/>
    <mergeCell ref="AM93:AN93"/>
    <mergeCell ref="AM94:AN94"/>
    <mergeCell ref="AM79:AN79"/>
    <mergeCell ref="AM80:AN80"/>
    <mergeCell ref="AM81:AN81"/>
    <mergeCell ref="AM53:AN53"/>
    <mergeCell ref="AM54:AN54"/>
    <mergeCell ref="AM55:AN55"/>
    <mergeCell ref="AM56:AN56"/>
    <mergeCell ref="AM57:AN57"/>
    <mergeCell ref="AM48:AN48"/>
    <mergeCell ref="AM49:AN49"/>
    <mergeCell ref="AM50:AN50"/>
    <mergeCell ref="AM51:AN51"/>
    <mergeCell ref="AM52:AN52"/>
    <mergeCell ref="AM67:AN67"/>
    <mergeCell ref="AM68:AN68"/>
    <mergeCell ref="AO52:AP52"/>
    <mergeCell ref="AO53:AP53"/>
    <mergeCell ref="AO54:AP54"/>
    <mergeCell ref="AO55:AP55"/>
    <mergeCell ref="AO46:AP46"/>
    <mergeCell ref="AO47:AP47"/>
    <mergeCell ref="AO48:AP48"/>
    <mergeCell ref="AO49:AP49"/>
    <mergeCell ref="AO50:AP50"/>
    <mergeCell ref="AO41:AP41"/>
    <mergeCell ref="AO42:AP42"/>
    <mergeCell ref="AO43:AP43"/>
    <mergeCell ref="AO44:AP44"/>
    <mergeCell ref="AO45:AP45"/>
    <mergeCell ref="AO36:AP36"/>
    <mergeCell ref="AO37:AP37"/>
    <mergeCell ref="AO38:AP38"/>
    <mergeCell ref="AO39:AP39"/>
    <mergeCell ref="AO40:AP40"/>
    <mergeCell ref="AO96:AP96"/>
    <mergeCell ref="AQ9:AR9"/>
    <mergeCell ref="AQ10:AR10"/>
    <mergeCell ref="AQ11:AR11"/>
    <mergeCell ref="AQ12:AR12"/>
    <mergeCell ref="AQ13:AR13"/>
    <mergeCell ref="AQ14:AR14"/>
    <mergeCell ref="AQ15:AR15"/>
    <mergeCell ref="AQ16:AR16"/>
    <mergeCell ref="AQ17:AR17"/>
    <mergeCell ref="AQ18:AR18"/>
    <mergeCell ref="AQ19:AR19"/>
    <mergeCell ref="AQ20:AR20"/>
    <mergeCell ref="AQ21:AR21"/>
    <mergeCell ref="AQ22:AR22"/>
    <mergeCell ref="AQ23:AR23"/>
    <mergeCell ref="AO91:AP91"/>
    <mergeCell ref="AO92:AP92"/>
    <mergeCell ref="AO93:AP93"/>
    <mergeCell ref="AO94:AP94"/>
    <mergeCell ref="AO95:AP95"/>
    <mergeCell ref="AO86:AP86"/>
    <mergeCell ref="AO90:AP90"/>
    <mergeCell ref="AO83:AP83"/>
    <mergeCell ref="AO84:AP84"/>
    <mergeCell ref="AO85:AP85"/>
    <mergeCell ref="AO56:AP56"/>
    <mergeCell ref="AO57:AP57"/>
    <mergeCell ref="AO70:AP70"/>
    <mergeCell ref="AO71:AP71"/>
    <mergeCell ref="AO82:AP82"/>
    <mergeCell ref="AO51:AP51"/>
    <mergeCell ref="AQ53:AR53"/>
    <mergeCell ref="AQ44:AR44"/>
    <mergeCell ref="AQ45:AR45"/>
    <mergeCell ref="AQ46:AR46"/>
    <mergeCell ref="AQ47:AR47"/>
    <mergeCell ref="AQ48:AR48"/>
    <mergeCell ref="AQ39:AR39"/>
    <mergeCell ref="AQ40:AR40"/>
    <mergeCell ref="AQ41:AR41"/>
    <mergeCell ref="AQ42:AR42"/>
    <mergeCell ref="AQ43:AR43"/>
    <mergeCell ref="AQ34:AR34"/>
    <mergeCell ref="AQ35:AR35"/>
    <mergeCell ref="AQ36:AR36"/>
    <mergeCell ref="AQ37:AR37"/>
    <mergeCell ref="AQ38:AR38"/>
    <mergeCell ref="AQ29:AR29"/>
    <mergeCell ref="AQ30:AR30"/>
    <mergeCell ref="AQ31:AR31"/>
    <mergeCell ref="AQ49:AR49"/>
    <mergeCell ref="AQ50:AR50"/>
    <mergeCell ref="AQ51:AR51"/>
    <mergeCell ref="AQ52:AR52"/>
    <mergeCell ref="AS18:AT18"/>
    <mergeCell ref="AS19:AT19"/>
    <mergeCell ref="AS20:AT20"/>
    <mergeCell ref="AS21:AT21"/>
    <mergeCell ref="AQ32:AR32"/>
    <mergeCell ref="AQ33:AR33"/>
    <mergeCell ref="AQ24:AR24"/>
    <mergeCell ref="AQ25:AR25"/>
    <mergeCell ref="AQ26:AR26"/>
    <mergeCell ref="AQ27:AR27"/>
    <mergeCell ref="AQ28:AR28"/>
    <mergeCell ref="AS38:AT38"/>
    <mergeCell ref="AS39:AT39"/>
    <mergeCell ref="AS40:AT40"/>
    <mergeCell ref="AS41:AT41"/>
    <mergeCell ref="AS31:AT31"/>
    <mergeCell ref="AS22:AT22"/>
    <mergeCell ref="AS23:AT23"/>
    <mergeCell ref="AS24:AT24"/>
    <mergeCell ref="AS32:AT32"/>
    <mergeCell ref="AS33:AT33"/>
    <mergeCell ref="AS34:AT34"/>
    <mergeCell ref="AS35:AT35"/>
    <mergeCell ref="AS36:AT36"/>
    <mergeCell ref="AS27:AT27"/>
    <mergeCell ref="AS28:AT28"/>
    <mergeCell ref="AS29:AT29"/>
    <mergeCell ref="AS30:AT30"/>
    <mergeCell ref="AS25:AT25"/>
    <mergeCell ref="AS26:AT26"/>
    <mergeCell ref="AQ92:AR92"/>
    <mergeCell ref="AQ86:AR86"/>
    <mergeCell ref="AQ87:AR87"/>
    <mergeCell ref="AQ88:AR88"/>
    <mergeCell ref="AQ71:AR71"/>
    <mergeCell ref="AQ82:AR82"/>
    <mergeCell ref="AQ83:AR83"/>
    <mergeCell ref="AQ84:AR84"/>
    <mergeCell ref="AQ85:AR85"/>
    <mergeCell ref="AQ75:AR75"/>
    <mergeCell ref="AQ76:AR76"/>
    <mergeCell ref="AQ77:AR77"/>
    <mergeCell ref="AS54:AT54"/>
    <mergeCell ref="AS55:AT55"/>
    <mergeCell ref="AS56:AT56"/>
    <mergeCell ref="AQ78:AR78"/>
    <mergeCell ref="AQ79:AR79"/>
    <mergeCell ref="AQ80:AR80"/>
    <mergeCell ref="AQ81:AR81"/>
    <mergeCell ref="AQ68:AR68"/>
    <mergeCell ref="AQ69:AR69"/>
    <mergeCell ref="AQ72:AR72"/>
    <mergeCell ref="AQ73:AR73"/>
    <mergeCell ref="AQ74:AR74"/>
    <mergeCell ref="AU8:AV8"/>
    <mergeCell ref="AU9:AV9"/>
    <mergeCell ref="AU10:AV10"/>
    <mergeCell ref="AU30:AV30"/>
    <mergeCell ref="AU21:AV21"/>
    <mergeCell ref="AU22:AV22"/>
    <mergeCell ref="AU23:AV23"/>
    <mergeCell ref="AU24:AV24"/>
    <mergeCell ref="AU25:AV25"/>
    <mergeCell ref="AU16:AV16"/>
    <mergeCell ref="AU17:AV17"/>
    <mergeCell ref="AU18:AV18"/>
    <mergeCell ref="AU19:AV19"/>
    <mergeCell ref="AU20:AV20"/>
    <mergeCell ref="AQ94:AR94"/>
    <mergeCell ref="AQ95:AR95"/>
    <mergeCell ref="AQ93:AR93"/>
    <mergeCell ref="AQ54:AR54"/>
    <mergeCell ref="AQ55:AR55"/>
    <mergeCell ref="AQ56:AR56"/>
    <mergeCell ref="AQ57:AR57"/>
    <mergeCell ref="AQ70:AR70"/>
    <mergeCell ref="AQ58:AR58"/>
    <mergeCell ref="AQ59:AR59"/>
    <mergeCell ref="AQ60:AR60"/>
    <mergeCell ref="AQ61:AR61"/>
    <mergeCell ref="AQ62:AR62"/>
    <mergeCell ref="AQ63:AR63"/>
    <mergeCell ref="AQ64:AR64"/>
    <mergeCell ref="AQ65:AR65"/>
    <mergeCell ref="AQ66:AR66"/>
    <mergeCell ref="AQ89:AR89"/>
    <mergeCell ref="AS13:AT13"/>
    <mergeCell ref="AS14:AT14"/>
    <mergeCell ref="AS15:AT15"/>
    <mergeCell ref="A1:AX1"/>
    <mergeCell ref="AS92:AT92"/>
    <mergeCell ref="AS93:AT93"/>
    <mergeCell ref="AS87:AT87"/>
    <mergeCell ref="AS88:AT88"/>
    <mergeCell ref="AS89:AT89"/>
    <mergeCell ref="AS90:AT90"/>
    <mergeCell ref="AS91:AT91"/>
    <mergeCell ref="AS84:AT84"/>
    <mergeCell ref="AS85:AT85"/>
    <mergeCell ref="AS86:AT86"/>
    <mergeCell ref="AS57:AT57"/>
    <mergeCell ref="AS70:AT70"/>
    <mergeCell ref="AS71:AT71"/>
    <mergeCell ref="AS82:AT82"/>
    <mergeCell ref="AS83:AT83"/>
    <mergeCell ref="AS52:AT52"/>
    <mergeCell ref="AS53:AT53"/>
    <mergeCell ref="AU31:AV31"/>
    <mergeCell ref="AU32:AV32"/>
    <mergeCell ref="AU33:AV33"/>
    <mergeCell ref="AU34:AV34"/>
    <mergeCell ref="AU35:AV35"/>
    <mergeCell ref="AU26:AV26"/>
    <mergeCell ref="AU27:AV27"/>
    <mergeCell ref="AU28:AV28"/>
    <mergeCell ref="AU29:AV29"/>
    <mergeCell ref="AS43:AT43"/>
    <mergeCell ref="AS44:AT44"/>
    <mergeCell ref="AS46:AT46"/>
    <mergeCell ref="AS37:AT37"/>
    <mergeCell ref="AU51:AV51"/>
    <mergeCell ref="AU52:AV52"/>
    <mergeCell ref="AU53:AV53"/>
    <mergeCell ref="AU54:AV54"/>
    <mergeCell ref="AU55:AV55"/>
    <mergeCell ref="AU46:AV46"/>
    <mergeCell ref="AU47:AV47"/>
    <mergeCell ref="AU48:AV48"/>
    <mergeCell ref="AU49:AV49"/>
    <mergeCell ref="AU50:AV50"/>
    <mergeCell ref="AU41:AV41"/>
    <mergeCell ref="AU42:AV42"/>
    <mergeCell ref="AU43:AV43"/>
    <mergeCell ref="AU44:AV44"/>
    <mergeCell ref="AU45:AV45"/>
    <mergeCell ref="AS47:AT47"/>
    <mergeCell ref="AS48:AT48"/>
    <mergeCell ref="AS49:AT49"/>
    <mergeCell ref="AS50:AT50"/>
    <mergeCell ref="AS51:AT51"/>
    <mergeCell ref="AS42:AT42"/>
    <mergeCell ref="AW13:AX13"/>
    <mergeCell ref="AW14:AX14"/>
    <mergeCell ref="AW15:AX15"/>
    <mergeCell ref="AW16:AX16"/>
    <mergeCell ref="AW17:AX17"/>
    <mergeCell ref="AU101:AV101"/>
    <mergeCell ref="AU102:AV102"/>
    <mergeCell ref="AW8:AX8"/>
    <mergeCell ref="AW9:AX9"/>
    <mergeCell ref="AW10:AX10"/>
    <mergeCell ref="AW11:AX11"/>
    <mergeCell ref="AW12:AX12"/>
    <mergeCell ref="AU96:AV96"/>
    <mergeCell ref="AU97:AV97"/>
    <mergeCell ref="AU98:AV98"/>
    <mergeCell ref="AU99:AV99"/>
    <mergeCell ref="AU100:AV100"/>
    <mergeCell ref="AU91:AV91"/>
    <mergeCell ref="AU92:AV92"/>
    <mergeCell ref="AU93:AV93"/>
    <mergeCell ref="AU94:AV94"/>
    <mergeCell ref="AU95:AV95"/>
    <mergeCell ref="AU86:AV86"/>
    <mergeCell ref="AU87:AV87"/>
    <mergeCell ref="AU88:AV88"/>
    <mergeCell ref="AU89:AV89"/>
    <mergeCell ref="AU90:AV90"/>
    <mergeCell ref="AU11:AV11"/>
    <mergeCell ref="AU12:AV12"/>
    <mergeCell ref="AU13:AV13"/>
    <mergeCell ref="AU14:AV14"/>
    <mergeCell ref="AU15:AV15"/>
    <mergeCell ref="AW33:AX33"/>
    <mergeCell ref="AW34:AX34"/>
    <mergeCell ref="AW35:AX35"/>
    <mergeCell ref="AW36:AX36"/>
    <mergeCell ref="AW37:AX37"/>
    <mergeCell ref="AW28:AX28"/>
    <mergeCell ref="AW29:AX29"/>
    <mergeCell ref="AW30:AX30"/>
    <mergeCell ref="AW31:AX31"/>
    <mergeCell ref="AW32:AX32"/>
    <mergeCell ref="AW23:AX23"/>
    <mergeCell ref="AW24:AX24"/>
    <mergeCell ref="AW25:AX25"/>
    <mergeCell ref="AW26:AX26"/>
    <mergeCell ref="AW27:AX27"/>
    <mergeCell ref="AU59:AV59"/>
    <mergeCell ref="AU60:AV60"/>
    <mergeCell ref="AU36:AV36"/>
    <mergeCell ref="AU37:AV37"/>
    <mergeCell ref="AU38:AV38"/>
    <mergeCell ref="AU39:AV39"/>
    <mergeCell ref="AU40:AV40"/>
    <mergeCell ref="AW51:AX51"/>
    <mergeCell ref="AW52:AX52"/>
    <mergeCell ref="AW43:AX43"/>
    <mergeCell ref="AW44:AX44"/>
    <mergeCell ref="AW45:AX45"/>
    <mergeCell ref="AW46:AX46"/>
    <mergeCell ref="AW47:AX47"/>
    <mergeCell ref="AW38:AX38"/>
    <mergeCell ref="AW39:AX39"/>
    <mergeCell ref="AW40:AX40"/>
    <mergeCell ref="AW41:AX41"/>
    <mergeCell ref="AW42:AX42"/>
    <mergeCell ref="AU83:AV83"/>
    <mergeCell ref="AU84:AV84"/>
    <mergeCell ref="AU85:AV85"/>
    <mergeCell ref="AU56:AV56"/>
    <mergeCell ref="AU57:AV57"/>
    <mergeCell ref="AU61:AV61"/>
    <mergeCell ref="AU62:AV62"/>
    <mergeCell ref="AU63:AV63"/>
    <mergeCell ref="AU80:AV80"/>
    <mergeCell ref="AU81:AV81"/>
    <mergeCell ref="AW101:AX101"/>
    <mergeCell ref="AW102:AX102"/>
    <mergeCell ref="AW93:AX93"/>
    <mergeCell ref="AW94:AX94"/>
    <mergeCell ref="AW95:AX95"/>
    <mergeCell ref="AW96:AX96"/>
    <mergeCell ref="AW97:AX97"/>
    <mergeCell ref="AW88:AX88"/>
    <mergeCell ref="AW89:AX89"/>
    <mergeCell ref="AW90:AX90"/>
    <mergeCell ref="AW91:AX91"/>
    <mergeCell ref="AW92:AX92"/>
    <mergeCell ref="AW85:AX85"/>
    <mergeCell ref="AW86:AX86"/>
    <mergeCell ref="AW87:AX87"/>
    <mergeCell ref="AW70:AX70"/>
    <mergeCell ref="AW71:AX71"/>
    <mergeCell ref="AW82:AX82"/>
    <mergeCell ref="AW83:AX83"/>
    <mergeCell ref="AW84:AX84"/>
    <mergeCell ref="AW75:AX75"/>
    <mergeCell ref="AW76:AX76"/>
    <mergeCell ref="AW77:AX77"/>
    <mergeCell ref="AW78:AX78"/>
    <mergeCell ref="AW79:AX79"/>
    <mergeCell ref="AW80:AX80"/>
    <mergeCell ref="AW81:AX81"/>
    <mergeCell ref="M69:N69"/>
    <mergeCell ref="M72:N72"/>
    <mergeCell ref="M73:N73"/>
    <mergeCell ref="B68:E68"/>
    <mergeCell ref="B69:E69"/>
    <mergeCell ref="B76:E76"/>
    <mergeCell ref="B77:E77"/>
    <mergeCell ref="B78:E78"/>
    <mergeCell ref="U80:V80"/>
    <mergeCell ref="U81:V81"/>
    <mergeCell ref="Q77:R77"/>
    <mergeCell ref="Q78:R78"/>
    <mergeCell ref="Q79:R79"/>
    <mergeCell ref="Q80:R80"/>
    <mergeCell ref="Q81:R81"/>
    <mergeCell ref="M74:N74"/>
    <mergeCell ref="M75:N75"/>
    <mergeCell ref="M76:N76"/>
    <mergeCell ref="M77:N77"/>
    <mergeCell ref="M78:N78"/>
    <mergeCell ref="Q72:R72"/>
    <mergeCell ref="Q73:R73"/>
    <mergeCell ref="Q74:R74"/>
    <mergeCell ref="M70:N70"/>
    <mergeCell ref="M71:N71"/>
    <mergeCell ref="AW98:AX98"/>
    <mergeCell ref="AW99:AX99"/>
    <mergeCell ref="AW100:AX100"/>
    <mergeCell ref="AU70:AV70"/>
    <mergeCell ref="AU71:AV71"/>
    <mergeCell ref="AU82:AV82"/>
    <mergeCell ref="AU64:AV64"/>
    <mergeCell ref="AU65:AV65"/>
    <mergeCell ref="AU66:AV66"/>
    <mergeCell ref="AU67:AV67"/>
    <mergeCell ref="AS94:AT94"/>
    <mergeCell ref="AS95:AT95"/>
    <mergeCell ref="AS96:AT96"/>
    <mergeCell ref="AQ96:AR96"/>
    <mergeCell ref="AQ67:AR67"/>
    <mergeCell ref="AO87:AP87"/>
    <mergeCell ref="AO88:AP88"/>
    <mergeCell ref="AO89:AP89"/>
    <mergeCell ref="AQ90:AR90"/>
    <mergeCell ref="AQ91:AR91"/>
    <mergeCell ref="AW69:AX69"/>
    <mergeCell ref="AW72:AX72"/>
    <mergeCell ref="AW73:AX73"/>
    <mergeCell ref="AW74:AX74"/>
    <mergeCell ref="AU75:AV75"/>
    <mergeCell ref="AU76:AV76"/>
    <mergeCell ref="AU77:AV77"/>
    <mergeCell ref="AU78:AV78"/>
    <mergeCell ref="AU79:AV79"/>
    <mergeCell ref="AU68:AV68"/>
    <mergeCell ref="AU69:AV69"/>
    <mergeCell ref="AU72:AV72"/>
    <mergeCell ref="M80:N80"/>
    <mergeCell ref="M81:N81"/>
    <mergeCell ref="U75:V75"/>
    <mergeCell ref="U76:V76"/>
    <mergeCell ref="U77:V77"/>
    <mergeCell ref="U78:V78"/>
    <mergeCell ref="U79:V79"/>
    <mergeCell ref="Q75:R75"/>
    <mergeCell ref="Q76:R76"/>
    <mergeCell ref="Q65:R65"/>
    <mergeCell ref="Q66:R66"/>
    <mergeCell ref="Q67:R67"/>
    <mergeCell ref="Q68:R68"/>
    <mergeCell ref="Q59:R59"/>
    <mergeCell ref="Q60:R60"/>
    <mergeCell ref="Q61:R61"/>
    <mergeCell ref="Q62:R62"/>
    <mergeCell ref="Q63:R63"/>
    <mergeCell ref="U68:V68"/>
    <mergeCell ref="U69:V69"/>
    <mergeCell ref="U72:V72"/>
    <mergeCell ref="U73:V73"/>
    <mergeCell ref="U74:V74"/>
    <mergeCell ref="Y60:Z60"/>
    <mergeCell ref="M79:N79"/>
    <mergeCell ref="AG58:AH58"/>
    <mergeCell ref="AG59:AH59"/>
    <mergeCell ref="AG60:AH60"/>
    <mergeCell ref="AG61:AH61"/>
    <mergeCell ref="AG62:AH62"/>
    <mergeCell ref="AC58:AD58"/>
    <mergeCell ref="AC59:AD59"/>
    <mergeCell ref="AC60:AD60"/>
    <mergeCell ref="AC61:AD61"/>
    <mergeCell ref="AC62:AD62"/>
    <mergeCell ref="AC68:AD68"/>
    <mergeCell ref="AC69:AD69"/>
    <mergeCell ref="AC72:AD72"/>
    <mergeCell ref="AC73:AD73"/>
    <mergeCell ref="AC74:AD74"/>
    <mergeCell ref="AC64:AD64"/>
    <mergeCell ref="AC65:AD65"/>
    <mergeCell ref="AG68:AH68"/>
    <mergeCell ref="AG69:AH69"/>
    <mergeCell ref="K6:Z7"/>
    <mergeCell ref="AA6:AP7"/>
    <mergeCell ref="AQ6:AX7"/>
    <mergeCell ref="M2:Z5"/>
    <mergeCell ref="AA2:AP5"/>
    <mergeCell ref="AQ2:AX5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M67:N67"/>
    <mergeCell ref="M68:N68"/>
    <mergeCell ref="AW18:AX18"/>
    <mergeCell ref="AW19:AX19"/>
    <mergeCell ref="AW20:AX20"/>
    <mergeCell ref="AW21:AX21"/>
    <mergeCell ref="AW22:AX22"/>
    <mergeCell ref="AW53:AX53"/>
    <mergeCell ref="AW54:AX54"/>
    <mergeCell ref="AW55:AX55"/>
    <mergeCell ref="AW56:AX56"/>
    <mergeCell ref="AW57:AX57"/>
    <mergeCell ref="AW48:AX48"/>
    <mergeCell ref="AW49:AX49"/>
    <mergeCell ref="AW50:AX50"/>
    <mergeCell ref="AU73:AV73"/>
    <mergeCell ref="AU74:AV74"/>
    <mergeCell ref="AU58:AV58"/>
    <mergeCell ref="AM63:AN63"/>
    <mergeCell ref="AM64:AN64"/>
    <mergeCell ref="AM65:AN65"/>
    <mergeCell ref="AM66:AN66"/>
    <mergeCell ref="AM58:AN58"/>
    <mergeCell ref="AM59:AN59"/>
    <mergeCell ref="AM60:AN60"/>
    <mergeCell ref="AM61:AN61"/>
    <mergeCell ref="AM62:AN62"/>
    <mergeCell ref="AM69:AN69"/>
    <mergeCell ref="AM72:AN72"/>
    <mergeCell ref="AM73:AN73"/>
    <mergeCell ref="AI8:AJ8"/>
    <mergeCell ref="AI49:AJ49"/>
    <mergeCell ref="AI50:AJ50"/>
    <mergeCell ref="AI51:AJ51"/>
    <mergeCell ref="AI52:AJ52"/>
    <mergeCell ref="AI53:AJ53"/>
    <mergeCell ref="AI54:AJ54"/>
    <mergeCell ref="AI55:AJ55"/>
    <mergeCell ref="AI56:AJ56"/>
    <mergeCell ref="AI57:AJ57"/>
    <mergeCell ref="AI58:AJ58"/>
    <mergeCell ref="AI59:AJ59"/>
    <mergeCell ref="AI60:AJ60"/>
    <mergeCell ref="AI61:AJ61"/>
    <mergeCell ref="AI62:AJ62"/>
    <mergeCell ref="AI63:AJ63"/>
    <mergeCell ref="AS45:AT45"/>
    <mergeCell ref="AI64:AJ64"/>
    <mergeCell ref="AI65:AJ65"/>
    <mergeCell ref="AI66:AJ66"/>
    <mergeCell ref="AI67:AJ67"/>
    <mergeCell ref="AI68:AJ68"/>
    <mergeCell ref="AI69:AJ69"/>
    <mergeCell ref="AI70:AJ70"/>
    <mergeCell ref="AI71:AJ71"/>
    <mergeCell ref="AI72:AJ72"/>
    <mergeCell ref="AI73:AJ73"/>
    <mergeCell ref="AI74:AJ74"/>
    <mergeCell ref="AI75:AJ75"/>
    <mergeCell ref="AI76:AJ76"/>
    <mergeCell ref="AI77:AJ77"/>
    <mergeCell ref="AI78:AJ78"/>
    <mergeCell ref="AI79:AJ79"/>
    <mergeCell ref="AI80:AJ80"/>
    <mergeCell ref="AI81:AJ81"/>
    <mergeCell ref="AI82:AJ82"/>
    <mergeCell ref="AI83:AJ83"/>
    <mergeCell ref="AI84:AJ84"/>
    <mergeCell ref="AI85:AJ85"/>
    <mergeCell ref="AI86:AJ86"/>
    <mergeCell ref="AI87:AJ87"/>
    <mergeCell ref="AI88:AJ88"/>
    <mergeCell ref="AI89:AJ89"/>
    <mergeCell ref="AI90:AJ90"/>
    <mergeCell ref="AI91:AJ91"/>
    <mergeCell ref="AI92:AJ92"/>
    <mergeCell ref="AI93:AJ93"/>
    <mergeCell ref="AI94:AJ94"/>
    <mergeCell ref="AI95:AJ95"/>
    <mergeCell ref="AI96:AJ96"/>
    <mergeCell ref="AI9:AJ9"/>
    <mergeCell ref="AI10:AJ10"/>
    <mergeCell ref="AI11:AJ11"/>
    <mergeCell ref="AI12:AJ12"/>
    <mergeCell ref="AI13:AJ13"/>
    <mergeCell ref="AI14:AJ14"/>
    <mergeCell ref="AI15:AJ15"/>
    <mergeCell ref="AI16:AJ16"/>
    <mergeCell ref="AI17:AJ17"/>
    <mergeCell ref="AI18:AJ18"/>
    <mergeCell ref="AI19:AJ19"/>
    <mergeCell ref="AI20:AJ20"/>
    <mergeCell ref="AI21:AJ21"/>
    <mergeCell ref="AI22:AJ22"/>
    <mergeCell ref="AI23:AJ23"/>
    <mergeCell ref="AI24:AJ24"/>
    <mergeCell ref="AI42:AJ42"/>
    <mergeCell ref="AI43:AJ43"/>
    <mergeCell ref="AI44:AJ44"/>
    <mergeCell ref="AI45:AJ45"/>
    <mergeCell ref="AI46:AJ46"/>
    <mergeCell ref="AI47:AJ47"/>
    <mergeCell ref="AI48:AJ48"/>
    <mergeCell ref="AI25:AJ25"/>
    <mergeCell ref="AI26:AJ26"/>
    <mergeCell ref="AI27:AJ27"/>
    <mergeCell ref="AI28:AJ28"/>
    <mergeCell ref="AI29:AJ29"/>
    <mergeCell ref="AI30:AJ30"/>
    <mergeCell ref="AI31:AJ31"/>
    <mergeCell ref="AI32:AJ32"/>
    <mergeCell ref="AI33:AJ33"/>
    <mergeCell ref="AI34:AJ34"/>
    <mergeCell ref="AI35:AJ35"/>
    <mergeCell ref="AI36:AJ36"/>
    <mergeCell ref="AI37:AJ37"/>
    <mergeCell ref="AI38:AJ38"/>
    <mergeCell ref="AI39:AJ39"/>
    <mergeCell ref="AI40:AJ40"/>
    <mergeCell ref="AI41:AJ41"/>
  </mergeCells>
  <pageMargins left="0.25" right="0.25" top="0.75" bottom="0.75" header="0.3" footer="0.3"/>
  <pageSetup paperSize="9" scale="48" fitToHeight="0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AC75-32BF-3D40-83FF-2BD33855FFB7}">
  <dimension ref="A1:H11"/>
  <sheetViews>
    <sheetView zoomScale="178" workbookViewId="0">
      <selection activeCell="B2" sqref="B2:E6"/>
    </sheetView>
  </sheetViews>
  <sheetFormatPr baseColWidth="10" defaultRowHeight="15" x14ac:dyDescent="0.2"/>
  <cols>
    <col min="1" max="1" width="28.5" style="2" customWidth="1"/>
    <col min="2" max="2" width="17.83203125" style="2" customWidth="1"/>
    <col min="3" max="16384" width="10.83203125" style="2"/>
  </cols>
  <sheetData>
    <row r="1" spans="1:8" ht="41" customHeight="1" x14ac:dyDescent="0.2">
      <c r="A1" s="214" t="s">
        <v>76</v>
      </c>
      <c r="B1" s="214"/>
      <c r="C1" s="214"/>
      <c r="D1" s="214"/>
      <c r="E1" s="214"/>
      <c r="F1" s="51"/>
      <c r="G1" s="51"/>
      <c r="H1" s="51"/>
    </row>
    <row r="2" spans="1:8" ht="19" customHeight="1" x14ac:dyDescent="0.2">
      <c r="A2" s="55" t="s">
        <v>77</v>
      </c>
      <c r="B2" s="52">
        <v>2.5</v>
      </c>
      <c r="C2" s="52">
        <v>1.75</v>
      </c>
      <c r="D2" s="52">
        <v>1.25</v>
      </c>
      <c r="E2" s="52">
        <v>39</v>
      </c>
    </row>
    <row r="3" spans="1:8" ht="15" customHeight="1" x14ac:dyDescent="0.2">
      <c r="A3" s="217"/>
      <c r="B3" s="52"/>
      <c r="C3" s="52"/>
      <c r="D3" s="52"/>
      <c r="E3" s="52"/>
    </row>
    <row r="4" spans="1:8" x14ac:dyDescent="0.2">
      <c r="A4" s="217"/>
      <c r="B4" s="52">
        <v>8</v>
      </c>
      <c r="C4" s="52">
        <v>8</v>
      </c>
      <c r="D4" s="52">
        <v>4</v>
      </c>
      <c r="E4" s="52"/>
    </row>
    <row r="5" spans="1:8" x14ac:dyDescent="0.2">
      <c r="A5" s="217"/>
      <c r="B5" s="52">
        <f>SUM(B4*B2)</f>
        <v>20</v>
      </c>
      <c r="C5" s="52">
        <f>SUM(C4*C2)</f>
        <v>14</v>
      </c>
      <c r="D5" s="52">
        <f>SUM(D4*D2)</f>
        <v>5</v>
      </c>
      <c r="E5" s="52"/>
    </row>
    <row r="6" spans="1:8" x14ac:dyDescent="0.2">
      <c r="A6" s="217"/>
      <c r="B6" s="53">
        <f>A3/E2*B5</f>
        <v>0</v>
      </c>
      <c r="C6" s="53">
        <f>A3/E2*C5</f>
        <v>0</v>
      </c>
      <c r="D6" s="53">
        <f>A3/E2*D5</f>
        <v>0</v>
      </c>
      <c r="E6" s="52"/>
    </row>
    <row r="7" spans="1:8" ht="36" customHeight="1" x14ac:dyDescent="0.2">
      <c r="A7" s="217"/>
      <c r="B7" s="54" t="s">
        <v>71</v>
      </c>
      <c r="C7" s="54" t="s">
        <v>72</v>
      </c>
      <c r="D7" s="54" t="s">
        <v>73</v>
      </c>
      <c r="E7" s="54" t="s">
        <v>56</v>
      </c>
    </row>
    <row r="8" spans="1:8" x14ac:dyDescent="0.2">
      <c r="A8" s="215" t="s">
        <v>75</v>
      </c>
      <c r="B8" s="216">
        <f>B6/B4</f>
        <v>0</v>
      </c>
      <c r="C8" s="216">
        <f>C6/C4</f>
        <v>0</v>
      </c>
      <c r="D8" s="216">
        <f>D6/D4</f>
        <v>0</v>
      </c>
      <c r="E8" s="218">
        <f>SUM(B6:D6)</f>
        <v>0</v>
      </c>
    </row>
    <row r="9" spans="1:8" x14ac:dyDescent="0.2">
      <c r="A9" s="215"/>
      <c r="B9" s="216"/>
      <c r="C9" s="216"/>
      <c r="D9" s="216"/>
      <c r="E9" s="219"/>
    </row>
    <row r="10" spans="1:8" x14ac:dyDescent="0.2">
      <c r="A10" s="215"/>
      <c r="B10" s="216"/>
      <c r="C10" s="216"/>
      <c r="D10" s="216"/>
      <c r="E10" s="219"/>
    </row>
    <row r="11" spans="1:8" x14ac:dyDescent="0.2">
      <c r="A11" s="215"/>
      <c r="B11" s="216"/>
      <c r="C11" s="216"/>
      <c r="D11" s="216"/>
      <c r="E11" s="220"/>
    </row>
  </sheetData>
  <mergeCells count="7">
    <mergeCell ref="A1:E1"/>
    <mergeCell ref="A8:A11"/>
    <mergeCell ref="B8:B11"/>
    <mergeCell ref="C8:C11"/>
    <mergeCell ref="D8:D11"/>
    <mergeCell ref="A3:A7"/>
    <mergeCell ref="E8:E11"/>
  </mergeCells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ALS 10 BAZAR</vt:lpstr>
      <vt:lpstr>LIMITE DE PRECO</vt:lpstr>
      <vt:lpstr>SEPARACAO</vt:lpstr>
      <vt:lpstr>CALCULADORA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Joice</dc:creator>
  <cp:lastModifiedBy>rafael.curitibaimports@gmail.com</cp:lastModifiedBy>
  <cp:lastPrinted>2026-07-10T19:46:03Z</cp:lastPrinted>
  <dcterms:created xsi:type="dcterms:W3CDTF">2016-02-25T12:26:56Z</dcterms:created>
  <dcterms:modified xsi:type="dcterms:W3CDTF">2026-07-10T19:46:54Z</dcterms:modified>
</cp:coreProperties>
</file>
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PEDIDO COMERCIAL" state="visible" r:id="rId4"/>
    <sheet sheetId="2" name="SEPARACAO POR LOJA" state="visible" r:id="rId5"/>
    <sheet sheetId="3" name="INSTRUCOES DE PREENCHIMENTO" state="visible" r:id="rId6"/>
    <sheet sheetId="4" name="PARAMETROS FISCAIS" state="visible" r:id="rId7"/>
  </sheets>
  <calcPr calcId="171027"/>
</workbook>
</file>

<file path=xl/sharedStrings.xml><?xml version="1.0" encoding="utf-8"?>
<sst xmlns="http://schemas.openxmlformats.org/spreadsheetml/2006/main" count="982" uniqueCount="146">
  <si>
    <t>REDE MEGA 12 • PLANILHA MODELO DE IMPORTAÇÃO DE PEDIDOS</t>
  </si>
  <si>
    <t>ALS 10 BAZAR E BRINQUEDOS LTDA  •  ESTRUTURA INTELIGENTE ANTI-ERRO</t>
  </si>
  <si>
    <t>Uso: Compras e Fornecedores</t>
  </si>
  <si>
    <t>ℹ️ INSTRUÇÕES: Preencha os Dados do Fornecedor, Condições e Produtos. A coluna TOTAL PEÇAS calcula automaticamente (= QTD/CX × QTD CX).</t>
  </si>
  <si>
    <t>1. DADOS DA EMPRESA COMPRADORA (DESTINATÁRIO - MEGA 12):</t>
  </si>
  <si>
    <t>2. DADOS DO FORNECEDOR &amp; VENDEDOR (PREENCHA SEUS DADOS):</t>
  </si>
  <si>
    <t>Razão Social:</t>
  </si>
  <si>
    <t>ALS 10 BAZAR E BRINQUEDOS LTDA</t>
  </si>
  <si>
    <t/>
  </si>
  <si>
    <t>CNPJ / IE:</t>
  </si>
  <si>
    <t>37.144.240/0001-70    IE: 90847822-35</t>
  </si>
  <si>
    <t>CNPJ:</t>
  </si>
  <si>
    <t>End. Entrega:</t>
  </si>
  <si>
    <t>Av. José Galiciolli, 152 – BR153 – Centro – Irati – PR (CEP: 84500-009)</t>
  </si>
  <si>
    <t>Vendedor:</t>
  </si>
  <si>
    <t>Boletos / XML:</t>
  </si>
  <si>
    <t>als.conecta@gmail.com</t>
  </si>
  <si>
    <t>WhatsApp / Fone:</t>
  </si>
  <si>
    <t>Compras:</t>
  </si>
  <si>
    <t>Rafael (55) 9 9659-6315  |  Bruna (55) 9 3618-5609</t>
  </si>
  <si>
    <t>E-mail Vendas:</t>
  </si>
  <si>
    <t>3. CONDIÇÕES COMERCIAIS, PRAZOS &amp; FRETE:</t>
  </si>
  <si>
    <t>Nº Pedido:</t>
  </si>
  <si>
    <t>Data Pedido:</t>
  </si>
  <si>
    <t>Entrega:</t>
  </si>
  <si>
    <t>Tipo Frete:</t>
  </si>
  <si>
    <t>CIF</t>
  </si>
  <si>
    <t>Cond. Pag.:</t>
  </si>
  <si>
    <t>% OFF:</t>
  </si>
  <si>
    <t>Observações:</t>
  </si>
  <si>
    <t>#</t>
  </si>
  <si>
    <t>CÓDIGO FORNECEDOR</t>
  </si>
  <si>
    <t>DESCRIÇÃO DO PRODUTO</t>
  </si>
  <si>
    <t>UNID.</t>
  </si>
  <si>
    <t>QTD/CX</t>
  </si>
  <si>
    <t>QTD CX</t>
  </si>
  <si>
    <t>TOTAL PEÇAS</t>
  </si>
  <si>
    <t>PREÇO UNIT. (R$)</t>
  </si>
  <si>
    <t>TOTAIS CONSOLIDADOS DO PEDIDO:</t>
  </si>
  <si>
    <t>REGRAS MANDATÓRIAS DE RECEBIMENTO &amp; FATURAMENTO (REDE MEGA 12 - CD IRATI):</t>
  </si>
  <si>
    <t>1. Boletos NÃO devem exceder o valor de R$ 9.999,00 por título.</t>
  </si>
  <si>
    <t>2. Boletos e arquivo XML da Nota Fiscal devem ser enviados obrigatoriamente para: als.conecta@gmail.com.</t>
  </si>
  <si>
    <t>3. Descarregamento no local de entrega sob responsabilidade integral do fornecedor / transportadora.</t>
  </si>
  <si>
    <t>4. Agendar previamente a data de descarregamento no WhatsApp da Logística: (42) 9 9136-5009 (Roberta).</t>
  </si>
  <si>
    <t>5. As quantidades recebidas serão conferidas por bipagem e inspeção de avarias; divergências serão debitadas do pagamento.</t>
  </si>
  <si>
    <t>REDE MEGA 12 • GRADE DE SEPARAÇÃO E DISTRIBUIÇÃO DAS 20 LOJAS</t>
  </si>
  <si>
    <t>Distribuição por filial em Unidades (UN). As quantidades alocadas devem bater exatamente com o total comprado do item.</t>
  </si>
  <si>
    <t>DADOS DO ITEM COMPRADO</t>
  </si>
  <si>
    <t>CD</t>
  </si>
  <si>
    <t>CLUSTER A (8 LOJAS PRINCIPAIS - MAIOR VOLUME)</t>
  </si>
  <si>
    <t>CLUSTER B (8 LOJAS MÉDIAS)</t>
  </si>
  <si>
    <t>CLUSTER C (4 LOJAS COMPACTAS)</t>
  </si>
  <si>
    <t>AUDITORIA DA GRADE</t>
  </si>
  <si>
    <t>CÓDIGO FORNEC.</t>
  </si>
  <si>
    <t>TOTAL PEDIDO</t>
  </si>
  <si>
    <t>RESERVA CD</t>
  </si>
  <si>
    <t>PONTA GROSSA CENTRO</t>
  </si>
  <si>
    <t>RESERVA</t>
  </si>
  <si>
    <t>TIBAGI</t>
  </si>
  <si>
    <t>NOVA RÚSSIA</t>
  </si>
  <si>
    <t>JAVERT</t>
  </si>
  <si>
    <t>IVAÍ</t>
  </si>
  <si>
    <t>IRATI CENTRO</t>
  </si>
  <si>
    <t>CAMPO LARGO</t>
  </si>
  <si>
    <t>CASTRO</t>
  </si>
  <si>
    <t>IMBITUVA</t>
  </si>
  <si>
    <t>SANTA PAULA</t>
  </si>
  <si>
    <t>PRUDENTÓPOLIS</t>
  </si>
  <si>
    <t>GUARAPUAVA</t>
  </si>
  <si>
    <t>IMBAÚ</t>
  </si>
  <si>
    <t>RIO AZUL</t>
  </si>
  <si>
    <t>REBOUÇAS</t>
  </si>
  <si>
    <t>DEPÓSITO CENTRAL</t>
  </si>
  <si>
    <t>TEIXEIRA SOARES</t>
  </si>
  <si>
    <t>MALLET</t>
  </si>
  <si>
    <t>IPIRANGA</t>
  </si>
  <si>
    <t>TOTAL ALOCADO</t>
  </si>
  <si>
    <t>CONFERÊNCIA</t>
  </si>
  <si>
    <t>TOTAL GERAL DA SEPARAÇÃO POR FILIAL:</t>
  </si>
  <si>
    <t>GUIA OFICIAL DE PREENCHIMENTO DA PLANILHA (REDE MEGA 12)</t>
  </si>
  <si>
    <t>Siga as orientações abaixo para garantir 100% de sucesso na importação e geração da proposta comercial.</t>
  </si>
  <si>
    <t>CAMPO / COLUNA</t>
  </si>
  <si>
    <t>OBRIGATÓRIO?</t>
  </si>
  <si>
    <t>TIPO / FORMATO</t>
  </si>
  <si>
    <t>COMO PREENCHER &amp; ORIENTAÇÕES</t>
  </si>
  <si>
    <t>Fornecedor / Razão Social</t>
  </si>
  <si>
    <t>SIM</t>
  </si>
  <si>
    <t>Texto</t>
  </si>
  <si>
    <t>Nome oficial ou razão social da empresa fornecedora. O sistema vincula automaticamente com o cadastro interno.</t>
  </si>
  <si>
    <t>CNPJ do Fornecedor</t>
  </si>
  <si>
    <t>RECOMENDADO</t>
  </si>
  <si>
    <t>00.000.000/0001-00</t>
  </si>
  <si>
    <t>Identificador fiscal único para garantir o vínculo sem duplicidades.</t>
  </si>
  <si>
    <t>Vendedor &amp; Contatos</t>
  </si>
  <si>
    <t>Texto / Telefone</t>
  </si>
  <si>
    <t>Nome do representante e telefone/WhatsApp para constar no espelho oficial do pedido.</t>
  </si>
  <si>
    <t>Tipo de Frete</t>
  </si>
  <si>
    <t>CIF / FOB / Retira</t>
  </si>
  <si>
    <t>CIF: Por conta do fornecedor. FOB: Frete a cobrar/pago pela Mega 12. Retira: Retirada no local.</t>
  </si>
  <si>
    <t>Condição de Pagamento</t>
  </si>
  <si>
    <t>Texto / Prazos</t>
  </si>
  <si>
    <t>Exemplos: 30/60/90 Dias, Boleto 30 Dias, À Vista. O sistema gera automaticamente o fluxo de duplicatas financeiras.</t>
  </si>
  <si>
    <t>% OFF / Desconto Comercial</t>
  </si>
  <si>
    <t>OPCIONAL</t>
  </si>
  <si>
    <t>Percentual (%)</t>
  </si>
  <si>
    <t>Percentual de desconto comercial negociado sobre o pedido (ex: 0%, 5%, 10%). O sistema registra no cabeçalho e preserva os preços unitários líquidos da grade.</t>
  </si>
  <si>
    <t>Texto ou Número</t>
  </si>
  <si>
    <t>Referência do item de acordo com a tabela do fornecedor (ex: 652, REF-1020).</t>
  </si>
  <si>
    <t>Texto Completo</t>
  </si>
  <si>
    <t>Nome claro do produto, material, dimensões ou modelo.</t>
  </si>
  <si>
    <t>UN / CX / PCT / PAR / JG</t>
  </si>
  <si>
    <t>Unidade de medida. Usado no cálculo de conversão e apontamento de avarias de doca.</t>
  </si>
  <si>
    <t>QTD/CX (Embalagem)</t>
  </si>
  <si>
    <t>Número Inteiro</t>
  </si>
  <si>
    <t>Quantas unidades vêm dentro de cada caixa master ou pacote fechado. (Padrão: 1).</t>
  </si>
  <si>
    <t>QTD CX (Caixas Solicitadas)</t>
  </si>
  <si>
    <t>Quantidade de caixas ou fardos comprados.</t>
  </si>
  <si>
    <t>AUTOMÁTICO</t>
  </si>
  <si>
    <t>Fórmula</t>
  </si>
  <si>
    <t>Calculado automaticamente (= QTD/CX × QTD CX).</t>
  </si>
  <si>
    <t>Moeda (R$)</t>
  </si>
  <si>
    <t>Preço unitário líquido de compra da peça já com descontos comerciais aplicados.</t>
  </si>
  <si>
    <t>Aba SEPARAÇÃO POR LOJA</t>
  </si>
  <si>
    <t>Grade por Filial</t>
  </si>
  <si>
    <t>Se preenchida, o sistema importa as quantidades exatas por filial. Se deixada em branco, o sistema calcula a divisão automática ideal pelos clusters A/B/C.</t>
  </si>
  <si>
    <t>PARÂMETROS FISCAIS DE REFERÊNCIA (REDE MEGA 12 - PARANÁ)</t>
  </si>
  <si>
    <t>PARÂMETRO TRIBUTÁRIO</t>
  </si>
  <si>
    <t>ALÍQUOTA</t>
  </si>
  <si>
    <t>DESCRIÇÃO E APLICAÇÃO</t>
  </si>
  <si>
    <t>ICMS Entrada (Crédito)</t>
  </si>
  <si>
    <t>12.0%</t>
  </si>
  <si>
    <t>Crédito tributário abatido do custo do produto na entrada estadual</t>
  </si>
  <si>
    <t>Custos Fixos Operacionais</t>
  </si>
  <si>
    <t>26.0%</t>
  </si>
  <si>
    <t>Percentual operacional incidente sobre o PDV nas lojas físicas</t>
  </si>
  <si>
    <t>ICMS Saída (Alíquota PR)</t>
  </si>
  <si>
    <t>19.5%</t>
  </si>
  <si>
    <t>Alíquota de ICMS sobre a venda final no Estado do Paraná</t>
  </si>
  <si>
    <t>PIS / COFINS / IR</t>
  </si>
  <si>
    <t>6.0%</t>
  </si>
  <si>
    <t>Impostos federais incidentes sobre o faturamento de saída</t>
  </si>
  <si>
    <t>IPI Padrão</t>
  </si>
  <si>
    <t>0.0%</t>
  </si>
  <si>
    <t>Imposto sobre Produtos Industrializados (quando aplicável por NCM)</t>
  </si>
  <si>
    <t>ST (Substituição Tributária)</t>
  </si>
  <si>
    <t>ICMS-ST destacado por fornecedor (quando aplicável)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</si>
</sst>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9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6EE7B7"/>
      <sz val="8"/>
      <name val="Segoe UI"/>
    </font>
    <font>
      <color rgb="FFE2E8F0"/>
      <sz val="8"/>
      <name val="Segoe UI"/>
    </font>
    <font>
      <b/>
      <color rgb="FF92400E"/>
      <sz val="8"/>
      <name val="Segoe UI"/>
    </font>
    <font>
      <b/>
      <color rgb="FFFFFFFF"/>
      <sz val="8"/>
      <name val="Segoe UI"/>
    </font>
    <font>
      <b/>
      <color rgb="FF475569"/>
      <sz val="8"/>
      <name val="Segoe UI"/>
    </font>
    <font>
      <b/>
      <color rgb="FF1E293B"/>
      <sz val="8"/>
      <name val="Segoe UI"/>
    </font>
    <font>
      <b/>
      <color rgb="FF0F172A"/>
      <sz val="8"/>
      <name val="Segoe UI"/>
    </font>
    <font>
      <color rgb="FF1E293B"/>
      <sz val="8"/>
      <name val="Segoe UI"/>
    </font>
    <font>
      <b/>
      <color rgb="FF0D6938"/>
      <sz val="9"/>
      <name val="Segoe UI"/>
    </font>
    <font>
      <i/>
      <color rgb="FF1E293B"/>
      <sz val="8"/>
      <name val="Segoe UI"/>
    </font>
    <font>
      <color rgb="FF475569"/>
      <sz val="8"/>
      <name val="Segoe UI"/>
    </font>
    <font>
      <b/>
      <color rgb="FF059669"/>
      <sz val="8"/>
      <name val="Segoe UI"/>
    </font>
    <font>
      <b/>
      <color rgb="FF064E3B"/>
      <sz val="9"/>
      <name val="Segoe UI"/>
    </font>
    <font>
      <b/>
      <color rgb="FF991B1B"/>
      <sz val="8"/>
      <name val="Segoe UI"/>
    </font>
    <font>
      <color rgb="FFD1FAE5"/>
      <sz val="8"/>
      <name val="Segoe UI"/>
    </font>
    <font>
      <b/>
      <sz val="8"/>
      <name val="Segoe UI"/>
    </font>
    <font>
      <b/>
      <color rgb="FF0284C7"/>
      <sz val="8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FEF2F2"/>
      </patternFill>
    </fill>
    <fill>
      <patternFill patternType="solid">
        <fgColor rgb="FF334155"/>
      </patternFill>
    </fill>
    <fill>
      <patternFill patternType="solid">
        <fgColor rgb="FF0D9488"/>
      </patternFill>
    </fill>
    <fill>
      <patternFill patternType="solid">
        <fgColor rgb="FF0284C7"/>
      </patternFill>
    </fill>
  </fills>
  <borders count="8">
    <border>
      <left/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A7F3D0"/>
      </left>
      <right style="thin">
        <color rgb="FFA7F3D0"/>
      </right>
      <top style="medium">
        <color rgb="FF059669"/>
      </top>
      <bottom style="medium">
        <color rgb="FF059669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rgb="FFEF4444"/>
      </left>
      <right style="thin">
        <color rgb="FFEF4444"/>
      </right>
      <top/>
      <bottom/>
      <diagonal/>
    </border>
    <border>
      <left style="thin">
        <color rgb="FFEF4444"/>
      </left>
      <right style="thin">
        <color rgb="FFEF4444"/>
      </right>
      <top/>
      <bottom style="thin">
        <color rgb="FFEF444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 indent="1"/>
    </xf>
    <xf numFmtId="0" fontId="6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inden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right" vertical="center"/>
    </xf>
    <xf numFmtId="0" fontId="14" fillId="9" borderId="4" xfId="0" applyFont="1" applyFill="1" applyBorder="1" applyAlignment="1">
      <alignment horizontal="left" vertical="center" indent="1"/>
    </xf>
    <xf numFmtId="3" fontId="14" fillId="9" borderId="4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15" fillId="10" borderId="5" xfId="0" applyFont="1" applyFill="1" applyBorder="1" applyAlignment="1">
      <alignment horizontal="left" vertical="center" indent="1"/>
    </xf>
    <xf numFmtId="0" fontId="9" fillId="10" borderId="6" xfId="0" applyFont="1" applyFill="1" applyBorder="1" applyAlignment="1">
      <alignment horizontal="left" vertical="center" indent="1"/>
    </xf>
    <xf numFmtId="0" fontId="9" fillId="10" borderId="7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 indent="1"/>
    </xf>
    <xf numFmtId="0" fontId="0" fillId="7" borderId="2" xfId="0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 indent="1"/>
    </xf>
    <xf numFmtId="0" fontId="0" fillId="5" borderId="2" xfId="0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 indent="1"/>
    </xf>
    <xf numFmtId="0" fontId="13" fillId="9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7" fillId="7" borderId="2" xfId="0" applyFont="1" applyFill="1" applyBorder="1"/>
    <xf numFmtId="0" fontId="9" fillId="7" borderId="2" xfId="0" applyFont="1" applyFill="1" applyBorder="1" applyAlignment="1">
      <alignment horizontal="left" vertical="center" indent="1"/>
    </xf>
    <xf numFmtId="0" fontId="7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 zoomScale="100" zoomScaleNormal="100">
      <selection activeCell="F14" sqref="F14"/>
    </sheetView>
  </sheetViews>
  <sheetFormatPr defaultRowHeight="15" outlineLevelRow="0" outlineLevelCol="0" x14ac:dyDescent="0.25"/>
  <cols>
    <col min="1" max="1" width="6" customWidth="1"/>
    <col min="2" max="2" width="20" customWidth="1"/>
    <col min="3" max="3" width="46" customWidth="1"/>
    <col min="4" max="4" width="10" customWidth="1"/>
    <col min="5" max="6" width="12" customWidth="1"/>
    <col min="7" max="7" width="15" customWidth="1"/>
    <col min="8" max="8" width="18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3"/>
    </row>
    <row r="3" ht="20.1" customHeight="1" spans="1:8" x14ac:dyDescent="0.25">
      <c r="A3" s="4" t="s">
        <v>3</v>
      </c>
      <c r="B3" s="4"/>
      <c r="C3" s="4"/>
      <c r="D3" s="4"/>
      <c r="E3" s="4"/>
      <c r="F3" s="4"/>
      <c r="G3" s="4"/>
      <c r="H3" s="4"/>
    </row>
    <row r="4" ht="6" customHeight="1" x14ac:dyDescent="0.25"/>
    <row r="5" ht="20.1" customHeight="1" spans="1:8" x14ac:dyDescent="0.25">
      <c r="A5" s="5" t="s">
        <v>4</v>
      </c>
      <c r="B5" s="5"/>
      <c r="C5" s="5"/>
      <c r="D5" s="5"/>
      <c r="E5" s="5" t="s">
        <v>5</v>
      </c>
      <c r="F5" s="5"/>
      <c r="G5" s="5"/>
      <c r="H5" s="5"/>
    </row>
    <row r="6" ht="18.95" customHeight="1" spans="1:8" x14ac:dyDescent="0.25">
      <c r="A6" s="6" t="s">
        <v>6</v>
      </c>
      <c r="B6" s="7" t="s">
        <v>7</v>
      </c>
      <c r="C6" s="7"/>
      <c r="D6" s="7"/>
      <c r="E6" s="8" t="s">
        <v>6</v>
      </c>
      <c r="F6" s="9" t="s">
        <v>8</v>
      </c>
      <c r="G6" s="9"/>
      <c r="H6" s="9"/>
    </row>
    <row r="7" ht="18.95" customHeight="1" spans="1:8" x14ac:dyDescent="0.25">
      <c r="A7" s="6" t="s">
        <v>9</v>
      </c>
      <c r="B7" s="10" t="s">
        <v>10</v>
      </c>
      <c r="C7" s="10"/>
      <c r="D7" s="10"/>
      <c r="E7" s="8" t="s">
        <v>11</v>
      </c>
      <c r="F7" s="9" t="s">
        <v>8</v>
      </c>
      <c r="G7" s="9"/>
      <c r="H7" s="9"/>
    </row>
    <row r="8" ht="18.95" customHeight="1" spans="1:8" x14ac:dyDescent="0.25">
      <c r="A8" s="6" t="s">
        <v>12</v>
      </c>
      <c r="B8" s="7" t="s">
        <v>13</v>
      </c>
      <c r="C8" s="7"/>
      <c r="D8" s="7"/>
      <c r="E8" s="8" t="s">
        <v>14</v>
      </c>
      <c r="F8" s="9" t="s">
        <v>8</v>
      </c>
      <c r="G8" s="9"/>
      <c r="H8" s="9"/>
    </row>
    <row r="9" ht="18.95" customHeight="1" spans="1:8" x14ac:dyDescent="0.25">
      <c r="A9" s="6" t="s">
        <v>15</v>
      </c>
      <c r="B9" s="7" t="s">
        <v>16</v>
      </c>
      <c r="C9" s="7"/>
      <c r="D9" s="7"/>
      <c r="E9" s="8" t="s">
        <v>17</v>
      </c>
      <c r="F9" s="9" t="s">
        <v>8</v>
      </c>
      <c r="G9" s="9"/>
      <c r="H9" s="9"/>
    </row>
    <row r="10" ht="18.95" customHeight="1" spans="1:8" x14ac:dyDescent="0.25">
      <c r="A10" s="6" t="s">
        <v>18</v>
      </c>
      <c r="B10" s="10" t="s">
        <v>19</v>
      </c>
      <c r="C10" s="10"/>
      <c r="D10" s="10"/>
      <c r="E10" s="8" t="s">
        <v>20</v>
      </c>
      <c r="F10" s="9" t="s">
        <v>8</v>
      </c>
      <c r="G10" s="9"/>
      <c r="H10" s="9"/>
    </row>
    <row r="11" ht="6" customHeight="1" x14ac:dyDescent="0.25"/>
    <row r="12" ht="18.95" customHeight="1" spans="1:8" x14ac:dyDescent="0.25">
      <c r="A12" s="11" t="s">
        <v>21</v>
      </c>
      <c r="B12" s="11"/>
      <c r="C12" s="11"/>
      <c r="D12" s="11"/>
      <c r="E12" s="11"/>
      <c r="F12" s="11"/>
      <c r="G12" s="11"/>
      <c r="H12" s="11"/>
    </row>
    <row r="13" ht="18.95" customHeight="1" spans="1:8" x14ac:dyDescent="0.25">
      <c r="A13" s="12" t="s">
        <v>22</v>
      </c>
      <c r="B13" s="13" t="s">
        <v>8</v>
      </c>
      <c r="C13" s="12" t="s">
        <v>23</v>
      </c>
      <c r="D13" s="13"/>
      <c r="E13" s="12" t="s">
        <v>24</v>
      </c>
      <c r="F13" s="13"/>
      <c r="G13" s="12" t="s">
        <v>25</v>
      </c>
      <c r="H13" s="14" t="s">
        <v>26</v>
      </c>
    </row>
    <row r="14" ht="18.95" customHeight="1" spans="1:8" x14ac:dyDescent="0.25">
      <c r="A14" s="12" t="s">
        <v>27</v>
      </c>
      <c r="B14" s="13"/>
      <c r="C14" s="12" t="s">
        <v>28</v>
      </c>
      <c r="D14" s="14"/>
      <c r="E14" s="12" t="s">
        <v>29</v>
      </c>
      <c r="F14" s="15"/>
      <c r="G14" s="15"/>
      <c r="H14" s="15"/>
    </row>
    <row r="15" ht="9.95" customHeight="1" x14ac:dyDescent="0.25"/>
    <row r="16" ht="24.95" customHeight="1" spans="1:8" x14ac:dyDescent="0.25">
      <c r="A16" s="16" t="s">
        <v>30</v>
      </c>
      <c r="B16" s="16" t="s">
        <v>31</v>
      </c>
      <c r="C16" s="17" t="s">
        <v>32</v>
      </c>
      <c r="D16" s="16" t="s">
        <v>33</v>
      </c>
      <c r="E16" s="16" t="s">
        <v>34</v>
      </c>
      <c r="F16" s="16" t="s">
        <v>35</v>
      </c>
      <c r="G16" s="16" t="s">
        <v>36</v>
      </c>
      <c r="H16" s="18" t="s">
        <v>37</v>
      </c>
    </row>
    <row r="17" ht="20.1" customHeight="1" spans="1:8" x14ac:dyDescent="0.25">
      <c r="A17" s="19">
        <v>1</v>
      </c>
      <c r="B17" s="20" t="s">
        <v>8</v>
      </c>
      <c r="C17" s="21" t="s">
        <v>8</v>
      </c>
      <c r="D17" s="22" t="s">
        <v>8</v>
      </c>
      <c r="E17" s="22" t="s">
        <v>8</v>
      </c>
      <c r="F17" s="20" t="s">
        <v>8</v>
      </c>
      <c r="G17" s="23" t="e">
        <f t="shared" ref="G17:G46" si="0">IF(F17&gt;0,IF(E17&gt;0,E17*F17,F17),"")</f>
        <v>#VALUE!</v>
      </c>
      <c r="H17" s="24" t="s">
        <v>8</v>
      </c>
    </row>
    <row r="18" ht="20.1" customHeight="1" spans="1:8" x14ac:dyDescent="0.25">
      <c r="A18" s="25">
        <v>2</v>
      </c>
      <c r="B18" s="26" t="s">
        <v>8</v>
      </c>
      <c r="C18" s="27" t="s">
        <v>8</v>
      </c>
      <c r="D18" s="28" t="s">
        <v>8</v>
      </c>
      <c r="E18" s="28" t="s">
        <v>8</v>
      </c>
      <c r="F18" s="26" t="s">
        <v>8</v>
      </c>
      <c r="G18" s="29" t="e">
        <f t="shared" si="0"/>
        <v>#VALUE!</v>
      </c>
      <c r="H18" s="30" t="s">
        <v>8</v>
      </c>
    </row>
    <row r="19" ht="20.1" customHeight="1" spans="1:8" x14ac:dyDescent="0.25">
      <c r="A19" s="19">
        <v>3</v>
      </c>
      <c r="B19" s="20" t="s">
        <v>8</v>
      </c>
      <c r="C19" s="21" t="s">
        <v>8</v>
      </c>
      <c r="D19" s="22" t="s">
        <v>8</v>
      </c>
      <c r="E19" s="22" t="s">
        <v>8</v>
      </c>
      <c r="F19" s="20" t="s">
        <v>8</v>
      </c>
      <c r="G19" s="23" t="e">
        <f t="shared" si="0"/>
        <v>#VALUE!</v>
      </c>
      <c r="H19" s="24" t="s">
        <v>8</v>
      </c>
    </row>
    <row r="20" ht="20.1" customHeight="1" spans="1:8" x14ac:dyDescent="0.25">
      <c r="A20" s="25">
        <v>4</v>
      </c>
      <c r="B20" s="26" t="s">
        <v>8</v>
      </c>
      <c r="C20" s="27" t="s">
        <v>8</v>
      </c>
      <c r="D20" s="28" t="s">
        <v>8</v>
      </c>
      <c r="E20" s="28" t="s">
        <v>8</v>
      </c>
      <c r="F20" s="26" t="s">
        <v>8</v>
      </c>
      <c r="G20" s="29" t="e">
        <f t="shared" si="0"/>
        <v>#VALUE!</v>
      </c>
      <c r="H20" s="30" t="s">
        <v>8</v>
      </c>
    </row>
    <row r="21" ht="20.1" customHeight="1" spans="1:8" x14ac:dyDescent="0.25">
      <c r="A21" s="19">
        <v>5</v>
      </c>
      <c r="B21" s="20" t="s">
        <v>8</v>
      </c>
      <c r="C21" s="21" t="s">
        <v>8</v>
      </c>
      <c r="D21" s="22" t="s">
        <v>8</v>
      </c>
      <c r="E21" s="22" t="s">
        <v>8</v>
      </c>
      <c r="F21" s="20" t="s">
        <v>8</v>
      </c>
      <c r="G21" s="23" t="e">
        <f t="shared" si="0"/>
        <v>#VALUE!</v>
      </c>
      <c r="H21" s="24" t="s">
        <v>8</v>
      </c>
    </row>
    <row r="22" ht="20.1" customHeight="1" spans="1:8" x14ac:dyDescent="0.25">
      <c r="A22" s="25">
        <v>6</v>
      </c>
      <c r="B22" s="26" t="s">
        <v>8</v>
      </c>
      <c r="C22" s="27" t="s">
        <v>8</v>
      </c>
      <c r="D22" s="28" t="s">
        <v>8</v>
      </c>
      <c r="E22" s="28" t="s">
        <v>8</v>
      </c>
      <c r="F22" s="26" t="s">
        <v>8</v>
      </c>
      <c r="G22" s="29" t="e">
        <f t="shared" si="0"/>
        <v>#VALUE!</v>
      </c>
      <c r="H22" s="30" t="s">
        <v>8</v>
      </c>
    </row>
    <row r="23" ht="20.1" customHeight="1" spans="1:8" x14ac:dyDescent="0.25">
      <c r="A23" s="19">
        <v>7</v>
      </c>
      <c r="B23" s="20" t="s">
        <v>8</v>
      </c>
      <c r="C23" s="21" t="s">
        <v>8</v>
      </c>
      <c r="D23" s="22" t="s">
        <v>8</v>
      </c>
      <c r="E23" s="22" t="s">
        <v>8</v>
      </c>
      <c r="F23" s="20" t="s">
        <v>8</v>
      </c>
      <c r="G23" s="23" t="e">
        <f t="shared" si="0"/>
        <v>#VALUE!</v>
      </c>
      <c r="H23" s="24" t="s">
        <v>8</v>
      </c>
    </row>
    <row r="24" ht="20.1" customHeight="1" spans="1:8" x14ac:dyDescent="0.25">
      <c r="A24" s="25">
        <v>8</v>
      </c>
      <c r="B24" s="26" t="s">
        <v>8</v>
      </c>
      <c r="C24" s="27" t="s">
        <v>8</v>
      </c>
      <c r="D24" s="28" t="s">
        <v>8</v>
      </c>
      <c r="E24" s="28" t="s">
        <v>8</v>
      </c>
      <c r="F24" s="26" t="s">
        <v>8</v>
      </c>
      <c r="G24" s="29" t="e">
        <f t="shared" si="0"/>
        <v>#VALUE!</v>
      </c>
      <c r="H24" s="30" t="s">
        <v>8</v>
      </c>
    </row>
    <row r="25" ht="20.1" customHeight="1" spans="1:8" x14ac:dyDescent="0.25">
      <c r="A25" s="19">
        <v>9</v>
      </c>
      <c r="B25" s="20" t="s">
        <v>8</v>
      </c>
      <c r="C25" s="21" t="s">
        <v>8</v>
      </c>
      <c r="D25" s="22" t="s">
        <v>8</v>
      </c>
      <c r="E25" s="22" t="s">
        <v>8</v>
      </c>
      <c r="F25" s="20" t="s">
        <v>8</v>
      </c>
      <c r="G25" s="23" t="e">
        <f t="shared" si="0"/>
        <v>#VALUE!</v>
      </c>
      <c r="H25" s="24" t="s">
        <v>8</v>
      </c>
    </row>
    <row r="26" ht="20.1" customHeight="1" spans="1:8" x14ac:dyDescent="0.25">
      <c r="A26" s="25">
        <v>10</v>
      </c>
      <c r="B26" s="26" t="s">
        <v>8</v>
      </c>
      <c r="C26" s="27" t="s">
        <v>8</v>
      </c>
      <c r="D26" s="28" t="s">
        <v>8</v>
      </c>
      <c r="E26" s="28" t="s">
        <v>8</v>
      </c>
      <c r="F26" s="26" t="s">
        <v>8</v>
      </c>
      <c r="G26" s="29" t="e">
        <f t="shared" si="0"/>
        <v>#VALUE!</v>
      </c>
      <c r="H26" s="30" t="s">
        <v>8</v>
      </c>
    </row>
    <row r="27" ht="20.1" customHeight="1" spans="1:8" x14ac:dyDescent="0.25">
      <c r="A27" s="19">
        <v>11</v>
      </c>
      <c r="B27" s="20" t="s">
        <v>8</v>
      </c>
      <c r="C27" s="21" t="s">
        <v>8</v>
      </c>
      <c r="D27" s="22" t="s">
        <v>8</v>
      </c>
      <c r="E27" s="22" t="s">
        <v>8</v>
      </c>
      <c r="F27" s="20" t="s">
        <v>8</v>
      </c>
      <c r="G27" s="23" t="e">
        <f t="shared" si="0"/>
        <v>#VALUE!</v>
      </c>
      <c r="H27" s="24" t="s">
        <v>8</v>
      </c>
    </row>
    <row r="28" ht="20.1" customHeight="1" spans="1:8" x14ac:dyDescent="0.25">
      <c r="A28" s="25">
        <v>12</v>
      </c>
      <c r="B28" s="26" t="s">
        <v>8</v>
      </c>
      <c r="C28" s="27" t="s">
        <v>8</v>
      </c>
      <c r="D28" s="28" t="s">
        <v>8</v>
      </c>
      <c r="E28" s="28" t="s">
        <v>8</v>
      </c>
      <c r="F28" s="26" t="s">
        <v>8</v>
      </c>
      <c r="G28" s="29" t="e">
        <f t="shared" si="0"/>
        <v>#VALUE!</v>
      </c>
      <c r="H28" s="30" t="s">
        <v>8</v>
      </c>
    </row>
    <row r="29" ht="20.1" customHeight="1" spans="1:8" x14ac:dyDescent="0.25">
      <c r="A29" s="19">
        <v>13</v>
      </c>
      <c r="B29" s="20" t="s">
        <v>8</v>
      </c>
      <c r="C29" s="21" t="s">
        <v>8</v>
      </c>
      <c r="D29" s="22" t="s">
        <v>8</v>
      </c>
      <c r="E29" s="22" t="s">
        <v>8</v>
      </c>
      <c r="F29" s="20" t="s">
        <v>8</v>
      </c>
      <c r="G29" s="23" t="e">
        <f t="shared" si="0"/>
        <v>#VALUE!</v>
      </c>
      <c r="H29" s="24" t="s">
        <v>8</v>
      </c>
    </row>
    <row r="30" ht="20.1" customHeight="1" spans="1:8" x14ac:dyDescent="0.25">
      <c r="A30" s="25">
        <v>14</v>
      </c>
      <c r="B30" s="26" t="s">
        <v>8</v>
      </c>
      <c r="C30" s="27" t="s">
        <v>8</v>
      </c>
      <c r="D30" s="28" t="s">
        <v>8</v>
      </c>
      <c r="E30" s="28" t="s">
        <v>8</v>
      </c>
      <c r="F30" s="26" t="s">
        <v>8</v>
      </c>
      <c r="G30" s="29" t="e">
        <f t="shared" si="0"/>
        <v>#VALUE!</v>
      </c>
      <c r="H30" s="30" t="s">
        <v>8</v>
      </c>
    </row>
    <row r="31" ht="20.1" customHeight="1" spans="1:8" x14ac:dyDescent="0.25">
      <c r="A31" s="19">
        <v>15</v>
      </c>
      <c r="B31" s="20" t="s">
        <v>8</v>
      </c>
      <c r="C31" s="21" t="s">
        <v>8</v>
      </c>
      <c r="D31" s="22" t="s">
        <v>8</v>
      </c>
      <c r="E31" s="22" t="s">
        <v>8</v>
      </c>
      <c r="F31" s="20" t="s">
        <v>8</v>
      </c>
      <c r="G31" s="23" t="e">
        <f t="shared" si="0"/>
        <v>#VALUE!</v>
      </c>
      <c r="H31" s="24" t="s">
        <v>8</v>
      </c>
    </row>
    <row r="32" ht="20.1" customHeight="1" spans="1:8" x14ac:dyDescent="0.25">
      <c r="A32" s="25">
        <v>16</v>
      </c>
      <c r="B32" s="26" t="s">
        <v>8</v>
      </c>
      <c r="C32" s="27" t="s">
        <v>8</v>
      </c>
      <c r="D32" s="28" t="s">
        <v>8</v>
      </c>
      <c r="E32" s="28" t="s">
        <v>8</v>
      </c>
      <c r="F32" s="26" t="s">
        <v>8</v>
      </c>
      <c r="G32" s="29" t="e">
        <f t="shared" si="0"/>
        <v>#VALUE!</v>
      </c>
      <c r="H32" s="30" t="s">
        <v>8</v>
      </c>
    </row>
    <row r="33" ht="20.1" customHeight="1" spans="1:8" x14ac:dyDescent="0.25">
      <c r="A33" s="19">
        <v>17</v>
      </c>
      <c r="B33" s="20" t="s">
        <v>8</v>
      </c>
      <c r="C33" s="21" t="s">
        <v>8</v>
      </c>
      <c r="D33" s="22" t="s">
        <v>8</v>
      </c>
      <c r="E33" s="22" t="s">
        <v>8</v>
      </c>
      <c r="F33" s="20" t="s">
        <v>8</v>
      </c>
      <c r="G33" s="23" t="e">
        <f t="shared" si="0"/>
        <v>#VALUE!</v>
      </c>
      <c r="H33" s="24" t="s">
        <v>8</v>
      </c>
    </row>
    <row r="34" ht="20.1" customHeight="1" spans="1:8" x14ac:dyDescent="0.25">
      <c r="A34" s="25">
        <v>18</v>
      </c>
      <c r="B34" s="26" t="s">
        <v>8</v>
      </c>
      <c r="C34" s="27" t="s">
        <v>8</v>
      </c>
      <c r="D34" s="28" t="s">
        <v>8</v>
      </c>
      <c r="E34" s="28" t="s">
        <v>8</v>
      </c>
      <c r="F34" s="26" t="s">
        <v>8</v>
      </c>
      <c r="G34" s="29" t="e">
        <f t="shared" si="0"/>
        <v>#VALUE!</v>
      </c>
      <c r="H34" s="30" t="s">
        <v>8</v>
      </c>
    </row>
    <row r="35" ht="20.1" customHeight="1" spans="1:8" x14ac:dyDescent="0.25">
      <c r="A35" s="19">
        <v>19</v>
      </c>
      <c r="B35" s="20" t="s">
        <v>8</v>
      </c>
      <c r="C35" s="21" t="s">
        <v>8</v>
      </c>
      <c r="D35" s="22" t="s">
        <v>8</v>
      </c>
      <c r="E35" s="22" t="s">
        <v>8</v>
      </c>
      <c r="F35" s="20" t="s">
        <v>8</v>
      </c>
      <c r="G35" s="23" t="e">
        <f t="shared" si="0"/>
        <v>#VALUE!</v>
      </c>
      <c r="H35" s="24" t="s">
        <v>8</v>
      </c>
    </row>
    <row r="36" ht="20.1" customHeight="1" spans="1:8" x14ac:dyDescent="0.25">
      <c r="A36" s="25">
        <v>20</v>
      </c>
      <c r="B36" s="26" t="s">
        <v>8</v>
      </c>
      <c r="C36" s="27" t="s">
        <v>8</v>
      </c>
      <c r="D36" s="28" t="s">
        <v>8</v>
      </c>
      <c r="E36" s="28" t="s">
        <v>8</v>
      </c>
      <c r="F36" s="26" t="s">
        <v>8</v>
      </c>
      <c r="G36" s="29" t="e">
        <f t="shared" si="0"/>
        <v>#VALUE!</v>
      </c>
      <c r="H36" s="30" t="s">
        <v>8</v>
      </c>
    </row>
    <row r="37" ht="20.1" customHeight="1" spans="1:8" x14ac:dyDescent="0.25">
      <c r="A37" s="19">
        <v>21</v>
      </c>
      <c r="B37" s="20" t="s">
        <v>8</v>
      </c>
      <c r="C37" s="21" t="s">
        <v>8</v>
      </c>
      <c r="D37" s="22" t="s">
        <v>8</v>
      </c>
      <c r="E37" s="22" t="s">
        <v>8</v>
      </c>
      <c r="F37" s="20" t="s">
        <v>8</v>
      </c>
      <c r="G37" s="23" t="e">
        <f t="shared" si="0"/>
        <v>#VALUE!</v>
      </c>
      <c r="H37" s="24" t="s">
        <v>8</v>
      </c>
    </row>
    <row r="38" ht="20.1" customHeight="1" spans="1:8" x14ac:dyDescent="0.25">
      <c r="A38" s="25">
        <v>22</v>
      </c>
      <c r="B38" s="26" t="s">
        <v>8</v>
      </c>
      <c r="C38" s="27" t="s">
        <v>8</v>
      </c>
      <c r="D38" s="28" t="s">
        <v>8</v>
      </c>
      <c r="E38" s="28" t="s">
        <v>8</v>
      </c>
      <c r="F38" s="26" t="s">
        <v>8</v>
      </c>
      <c r="G38" s="29" t="e">
        <f t="shared" si="0"/>
        <v>#VALUE!</v>
      </c>
      <c r="H38" s="30" t="s">
        <v>8</v>
      </c>
    </row>
    <row r="39" ht="20.1" customHeight="1" spans="1:8" x14ac:dyDescent="0.25">
      <c r="A39" s="19">
        <v>23</v>
      </c>
      <c r="B39" s="20" t="s">
        <v>8</v>
      </c>
      <c r="C39" s="21" t="s">
        <v>8</v>
      </c>
      <c r="D39" s="22" t="s">
        <v>8</v>
      </c>
      <c r="E39" s="22" t="s">
        <v>8</v>
      </c>
      <c r="F39" s="20" t="s">
        <v>8</v>
      </c>
      <c r="G39" s="23" t="e">
        <f t="shared" si="0"/>
        <v>#VALUE!</v>
      </c>
      <c r="H39" s="24" t="s">
        <v>8</v>
      </c>
    </row>
    <row r="40" ht="20.1" customHeight="1" spans="1:8" x14ac:dyDescent="0.25">
      <c r="A40" s="25">
        <v>24</v>
      </c>
      <c r="B40" s="26" t="s">
        <v>8</v>
      </c>
      <c r="C40" s="27" t="s">
        <v>8</v>
      </c>
      <c r="D40" s="28" t="s">
        <v>8</v>
      </c>
      <c r="E40" s="28" t="s">
        <v>8</v>
      </c>
      <c r="F40" s="26" t="s">
        <v>8</v>
      </c>
      <c r="G40" s="29" t="e">
        <f t="shared" si="0"/>
        <v>#VALUE!</v>
      </c>
      <c r="H40" s="30" t="s">
        <v>8</v>
      </c>
    </row>
    <row r="41" ht="20.1" customHeight="1" spans="1:8" x14ac:dyDescent="0.25">
      <c r="A41" s="19">
        <v>25</v>
      </c>
      <c r="B41" s="20" t="s">
        <v>8</v>
      </c>
      <c r="C41" s="21" t="s">
        <v>8</v>
      </c>
      <c r="D41" s="22" t="s">
        <v>8</v>
      </c>
      <c r="E41" s="22" t="s">
        <v>8</v>
      </c>
      <c r="F41" s="20" t="s">
        <v>8</v>
      </c>
      <c r="G41" s="23" t="e">
        <f t="shared" si="0"/>
        <v>#VALUE!</v>
      </c>
      <c r="H41" s="24" t="s">
        <v>8</v>
      </c>
    </row>
    <row r="42" ht="20.1" customHeight="1" spans="1:8" x14ac:dyDescent="0.25">
      <c r="A42" s="25">
        <v>26</v>
      </c>
      <c r="B42" s="26" t="s">
        <v>8</v>
      </c>
      <c r="C42" s="27" t="s">
        <v>8</v>
      </c>
      <c r="D42" s="28" t="s">
        <v>8</v>
      </c>
      <c r="E42" s="28" t="s">
        <v>8</v>
      </c>
      <c r="F42" s="26" t="s">
        <v>8</v>
      </c>
      <c r="G42" s="29" t="e">
        <f t="shared" si="0"/>
        <v>#VALUE!</v>
      </c>
      <c r="H42" s="30" t="s">
        <v>8</v>
      </c>
    </row>
    <row r="43" ht="20.1" customHeight="1" spans="1:8" x14ac:dyDescent="0.25">
      <c r="A43" s="19">
        <v>27</v>
      </c>
      <c r="B43" s="20" t="s">
        <v>8</v>
      </c>
      <c r="C43" s="21" t="s">
        <v>8</v>
      </c>
      <c r="D43" s="22" t="s">
        <v>8</v>
      </c>
      <c r="E43" s="22" t="s">
        <v>8</v>
      </c>
      <c r="F43" s="20" t="s">
        <v>8</v>
      </c>
      <c r="G43" s="23" t="e">
        <f t="shared" si="0"/>
        <v>#VALUE!</v>
      </c>
      <c r="H43" s="24" t="s">
        <v>8</v>
      </c>
    </row>
    <row r="44" ht="20.1" customHeight="1" spans="1:8" x14ac:dyDescent="0.25">
      <c r="A44" s="25">
        <v>28</v>
      </c>
      <c r="B44" s="26" t="s">
        <v>8</v>
      </c>
      <c r="C44" s="27" t="s">
        <v>8</v>
      </c>
      <c r="D44" s="28" t="s">
        <v>8</v>
      </c>
      <c r="E44" s="28" t="s">
        <v>8</v>
      </c>
      <c r="F44" s="26" t="s">
        <v>8</v>
      </c>
      <c r="G44" s="29" t="e">
        <f t="shared" si="0"/>
        <v>#VALUE!</v>
      </c>
      <c r="H44" s="30" t="s">
        <v>8</v>
      </c>
    </row>
    <row r="45" ht="20.1" customHeight="1" spans="1:8" x14ac:dyDescent="0.25">
      <c r="A45" s="19">
        <v>29</v>
      </c>
      <c r="B45" s="20" t="s">
        <v>8</v>
      </c>
      <c r="C45" s="21" t="s">
        <v>8</v>
      </c>
      <c r="D45" s="22" t="s">
        <v>8</v>
      </c>
      <c r="E45" s="22" t="s">
        <v>8</v>
      </c>
      <c r="F45" s="20" t="s">
        <v>8</v>
      </c>
      <c r="G45" s="23" t="e">
        <f t="shared" si="0"/>
        <v>#VALUE!</v>
      </c>
      <c r="H45" s="24" t="s">
        <v>8</v>
      </c>
    </row>
    <row r="46" ht="20.1" customHeight="1" spans="1:8" x14ac:dyDescent="0.25">
      <c r="A46" s="25">
        <v>30</v>
      </c>
      <c r="B46" s="26" t="s">
        <v>8</v>
      </c>
      <c r="C46" s="27" t="s">
        <v>8</v>
      </c>
      <c r="D46" s="28" t="s">
        <v>8</v>
      </c>
      <c r="E46" s="28" t="s">
        <v>8</v>
      </c>
      <c r="F46" s="26" t="s">
        <v>8</v>
      </c>
      <c r="G46" s="29" t="e">
        <f t="shared" si="0"/>
        <v>#VALUE!</v>
      </c>
      <c r="H46" s="30" t="s">
        <v>8</v>
      </c>
    </row>
    <row r="47" ht="24" customHeight="1" spans="1:8" x14ac:dyDescent="0.25">
      <c r="A47" s="31" t="s">
        <v>38</v>
      </c>
      <c r="B47" s="31"/>
      <c r="C47" s="31"/>
      <c r="D47" s="31"/>
      <c r="E47" s="31"/>
      <c r="F47" s="32">
        <f>SUM(F17:F46)</f>
        <v>0</v>
      </c>
      <c r="G47" s="32" t="e">
        <f>SUM(G17:G46)</f>
        <v>#VALUE!</v>
      </c>
      <c r="H47" s="33" t="s">
        <v>8</v>
      </c>
    </row>
    <row r="48" ht="12" customHeight="1" x14ac:dyDescent="0.25"/>
    <row r="49" ht="20.1" customHeight="1" spans="1:8" x14ac:dyDescent="0.25">
      <c r="A49" s="34" t="s">
        <v>39</v>
      </c>
      <c r="B49" s="34"/>
      <c r="C49" s="34"/>
      <c r="D49" s="34"/>
      <c r="E49" s="34"/>
      <c r="F49" s="34"/>
      <c r="G49" s="34"/>
      <c r="H49" s="34"/>
    </row>
    <row r="50" ht="18" customHeight="1" spans="1:8" x14ac:dyDescent="0.25">
      <c r="A50" s="35" t="s">
        <v>40</v>
      </c>
      <c r="B50" s="35"/>
      <c r="C50" s="35"/>
      <c r="D50" s="35"/>
      <c r="E50" s="35"/>
      <c r="F50" s="35"/>
      <c r="G50" s="35"/>
      <c r="H50" s="35"/>
    </row>
    <row r="51" ht="18" customHeight="1" spans="1:8" x14ac:dyDescent="0.25">
      <c r="A51" s="35" t="s">
        <v>41</v>
      </c>
      <c r="B51" s="35"/>
      <c r="C51" s="35"/>
      <c r="D51" s="35"/>
      <c r="E51" s="35"/>
      <c r="F51" s="35"/>
      <c r="G51" s="35"/>
      <c r="H51" s="35"/>
    </row>
    <row r="52" ht="18" customHeight="1" spans="1:8" x14ac:dyDescent="0.25">
      <c r="A52" s="35" t="s">
        <v>42</v>
      </c>
      <c r="B52" s="35"/>
      <c r="C52" s="35"/>
      <c r="D52" s="35"/>
      <c r="E52" s="35"/>
      <c r="F52" s="35"/>
      <c r="G52" s="35"/>
      <c r="H52" s="35"/>
    </row>
    <row r="53" ht="18" customHeight="1" spans="1:8" x14ac:dyDescent="0.25">
      <c r="A53" s="35" t="s">
        <v>43</v>
      </c>
      <c r="B53" s="35"/>
      <c r="C53" s="35"/>
      <c r="D53" s="35"/>
      <c r="E53" s="35"/>
      <c r="F53" s="35"/>
      <c r="G53" s="35"/>
      <c r="H53" s="35"/>
    </row>
    <row r="54" ht="18" customHeight="1" spans="1:8" x14ac:dyDescent="0.25">
      <c r="A54" s="36" t="s">
        <v>44</v>
      </c>
      <c r="B54" s="36"/>
      <c r="C54" s="36"/>
      <c r="D54" s="36"/>
      <c r="E54" s="36"/>
      <c r="F54" s="36"/>
      <c r="G54" s="36"/>
      <c r="H54" s="36"/>
    </row>
  </sheetData>
  <mergeCells count="25">
    <mergeCell ref="A1:H1"/>
    <mergeCell ref="A2:F2"/>
    <mergeCell ref="G2:H2"/>
    <mergeCell ref="A3:H3"/>
    <mergeCell ref="A5:D5"/>
    <mergeCell ref="E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2:H12"/>
    <mergeCell ref="F14:H14"/>
    <mergeCell ref="A47:E47"/>
    <mergeCell ref="A49:H49"/>
    <mergeCell ref="A50:H50"/>
    <mergeCell ref="A51:H51"/>
    <mergeCell ref="A52:H52"/>
    <mergeCell ref="A53:H53"/>
    <mergeCell ref="A54:H54"/>
  </mergeCells>
  <dataValidations count="1">
    <dataValidation type="list" sqref="H13">
      <formula1>"CIF,FOB,Retira"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workbookViewId="0" zoomScale="100" zoomScaleNormal="100"/>
  </sheetViews>
  <sheetFormatPr defaultRowHeight="15" outlineLevelRow="0" outlineLevelCol="0" x14ac:dyDescent="0.25"/>
  <cols>
    <col min="1" max="1" width="6" customWidth="1"/>
    <col min="2" max="2" width="18" customWidth="1"/>
    <col min="3" max="3" width="42" customWidth="1"/>
    <col min="4" max="4" width="14" customWidth="1"/>
    <col min="5" max="5" width="12" customWidth="1"/>
    <col min="6" max="25" width="14" customWidth="1"/>
    <col min="26" max="26" width="15" customWidth="1"/>
    <col min="27" max="27" width="16" customWidth="1"/>
  </cols>
  <sheetData>
    <row r="1" ht="24" customHeight="1" spans="1:27" x14ac:dyDescent="0.25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ht="18" customHeight="1" spans="1:27" x14ac:dyDescent="0.25">
      <c r="A2" s="38" t="s">
        <v>46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ht="18" customHeight="1" spans="1:27" x14ac:dyDescent="0.25">
      <c r="A3" s="39" t="s">
        <v>47</v>
      </c>
      <c r="B3" s="39"/>
      <c r="C3" s="39"/>
      <c r="D3" s="39"/>
      <c r="E3" s="40" t="s">
        <v>48</v>
      </c>
      <c r="F3" s="41" t="s">
        <v>49</v>
      </c>
      <c r="G3" s="41"/>
      <c r="H3" s="41"/>
      <c r="I3" s="41"/>
      <c r="J3" s="41"/>
      <c r="K3" s="41"/>
      <c r="L3" s="41"/>
      <c r="M3" s="41"/>
      <c r="N3" s="42" t="s">
        <v>50</v>
      </c>
      <c r="O3" s="42"/>
      <c r="P3" s="42"/>
      <c r="Q3" s="42"/>
      <c r="R3" s="42"/>
      <c r="S3" s="42"/>
      <c r="T3" s="42"/>
      <c r="U3" s="42"/>
      <c r="V3" s="43" t="s">
        <v>51</v>
      </c>
      <c r="W3" s="43"/>
      <c r="X3" s="43"/>
      <c r="Y3" s="43"/>
      <c r="Z3" s="39" t="s">
        <v>52</v>
      </c>
      <c r="AA3" s="39"/>
    </row>
    <row r="4" ht="24" customHeight="1" spans="1:27" x14ac:dyDescent="0.25">
      <c r="A4" s="16" t="s">
        <v>30</v>
      </c>
      <c r="B4" s="16" t="s">
        <v>53</v>
      </c>
      <c r="C4" s="16" t="s">
        <v>32</v>
      </c>
      <c r="D4" s="16" t="s">
        <v>54</v>
      </c>
      <c r="E4" s="16" t="s">
        <v>55</v>
      </c>
      <c r="F4" s="16" t="s">
        <v>56</v>
      </c>
      <c r="G4" s="16" t="s">
        <v>57</v>
      </c>
      <c r="H4" s="16" t="s">
        <v>58</v>
      </c>
      <c r="I4" s="16" t="s">
        <v>59</v>
      </c>
      <c r="J4" s="16" t="s">
        <v>60</v>
      </c>
      <c r="K4" s="16" t="s">
        <v>61</v>
      </c>
      <c r="L4" s="16" t="s">
        <v>62</v>
      </c>
      <c r="M4" s="16" t="s">
        <v>63</v>
      </c>
      <c r="N4" s="16" t="s">
        <v>64</v>
      </c>
      <c r="O4" s="16" t="s">
        <v>65</v>
      </c>
      <c r="P4" s="16" t="s">
        <v>66</v>
      </c>
      <c r="Q4" s="16" t="s">
        <v>67</v>
      </c>
      <c r="R4" s="16" t="s">
        <v>68</v>
      </c>
      <c r="S4" s="16" t="s">
        <v>69</v>
      </c>
      <c r="T4" s="16" t="s">
        <v>70</v>
      </c>
      <c r="U4" s="16" t="s">
        <v>71</v>
      </c>
      <c r="V4" s="16" t="s">
        <v>72</v>
      </c>
      <c r="W4" s="16" t="s">
        <v>73</v>
      </c>
      <c r="X4" s="16" t="s">
        <v>74</v>
      </c>
      <c r="Y4" s="16" t="s">
        <v>75</v>
      </c>
      <c r="Z4" s="16" t="s">
        <v>76</v>
      </c>
      <c r="AA4" s="16" t="s">
        <v>77</v>
      </c>
    </row>
    <row r="5" ht="20.1" customHeight="1" spans="1:27" x14ac:dyDescent="0.25">
      <c r="A5" s="19">
        <v>1</v>
      </c>
      <c r="B5" s="44">
        <f>IF('PEDIDO COMERCIAL'!B17="","",'PEDIDO COMERCIAL'!B17)</f>
      </c>
      <c r="C5" s="45">
        <f>IF('PEDIDO COMERCIAL'!C17="","",'PEDIDO COMERCIAL'!C17)</f>
      </c>
      <c r="D5" s="23" t="e">
        <f>IF('PEDIDO COMERCIAL'!G17="","",'PEDIDO COMERCIAL'!G17)</f>
        <v>#VALUE!</v>
      </c>
      <c r="E5" s="46" t="s">
        <v>8</v>
      </c>
      <c r="F5" s="46" t="s">
        <v>8</v>
      </c>
      <c r="G5" s="46" t="s">
        <v>8</v>
      </c>
      <c r="H5" s="46" t="s">
        <v>8</v>
      </c>
      <c r="I5" s="46" t="s">
        <v>8</v>
      </c>
      <c r="J5" s="46" t="s">
        <v>8</v>
      </c>
      <c r="K5" s="46" t="s">
        <v>8</v>
      </c>
      <c r="L5" s="46" t="s">
        <v>8</v>
      </c>
      <c r="M5" s="46" t="s">
        <v>8</v>
      </c>
      <c r="N5" s="46" t="s">
        <v>8</v>
      </c>
      <c r="O5" s="46" t="s">
        <v>8</v>
      </c>
      <c r="P5" s="46" t="s">
        <v>8</v>
      </c>
      <c r="Q5" s="46" t="s">
        <v>8</v>
      </c>
      <c r="R5" s="46" t="s">
        <v>8</v>
      </c>
      <c r="S5" s="46" t="s">
        <v>8</v>
      </c>
      <c r="T5" s="46" t="s">
        <v>8</v>
      </c>
      <c r="U5" s="46" t="s">
        <v>8</v>
      </c>
      <c r="V5" s="46" t="s">
        <v>8</v>
      </c>
      <c r="W5" s="46" t="s">
        <v>8</v>
      </c>
      <c r="X5" s="46" t="s">
        <v>8</v>
      </c>
      <c r="Y5" s="46" t="s">
        <v>8</v>
      </c>
      <c r="Z5" s="44" t="e">
        <f t="shared" ref="Z5:Z34" si="0">IF(OR(D5="",COUNT(E5:Y5)=0),"",SUM(E5:Y5))</f>
        <v>#VALUE!</v>
      </c>
      <c r="AA5" s="23" t="e">
        <f t="shared" ref="AA5:AA34" si="1">IF(OR(D5="",D5=0),"",IF(Z5=D5,"OK (100%)","DIVERGENTE"))</f>
        <v>#VALUE!</v>
      </c>
    </row>
    <row r="6" ht="20.1" customHeight="1" spans="1:27" x14ac:dyDescent="0.25">
      <c r="A6" s="25">
        <v>2</v>
      </c>
      <c r="B6" s="47">
        <f>IF('PEDIDO COMERCIAL'!B18="","",'PEDIDO COMERCIAL'!B18)</f>
      </c>
      <c r="C6" s="48">
        <f>IF('PEDIDO COMERCIAL'!C18="","",'PEDIDO COMERCIAL'!C18)</f>
      </c>
      <c r="D6" s="29" t="e">
        <f>IF('PEDIDO COMERCIAL'!G18="","",'PEDIDO COMERCIAL'!G18)</f>
        <v>#VALUE!</v>
      </c>
      <c r="E6" s="49" t="s">
        <v>8</v>
      </c>
      <c r="F6" s="49" t="s">
        <v>8</v>
      </c>
      <c r="G6" s="49" t="s">
        <v>8</v>
      </c>
      <c r="H6" s="49" t="s">
        <v>8</v>
      </c>
      <c r="I6" s="49" t="s">
        <v>8</v>
      </c>
      <c r="J6" s="49" t="s">
        <v>8</v>
      </c>
      <c r="K6" s="49" t="s">
        <v>8</v>
      </c>
      <c r="L6" s="49" t="s">
        <v>8</v>
      </c>
      <c r="M6" s="49" t="s">
        <v>8</v>
      </c>
      <c r="N6" s="49" t="s">
        <v>8</v>
      </c>
      <c r="O6" s="49" t="s">
        <v>8</v>
      </c>
      <c r="P6" s="49" t="s">
        <v>8</v>
      </c>
      <c r="Q6" s="49" t="s">
        <v>8</v>
      </c>
      <c r="R6" s="49" t="s">
        <v>8</v>
      </c>
      <c r="S6" s="49" t="s">
        <v>8</v>
      </c>
      <c r="T6" s="49" t="s">
        <v>8</v>
      </c>
      <c r="U6" s="49" t="s">
        <v>8</v>
      </c>
      <c r="V6" s="49" t="s">
        <v>8</v>
      </c>
      <c r="W6" s="49" t="s">
        <v>8</v>
      </c>
      <c r="X6" s="49" t="s">
        <v>8</v>
      </c>
      <c r="Y6" s="49" t="s">
        <v>8</v>
      </c>
      <c r="Z6" s="47" t="e">
        <f t="shared" si="0"/>
        <v>#VALUE!</v>
      </c>
      <c r="AA6" s="29" t="e">
        <f t="shared" si="1"/>
        <v>#VALUE!</v>
      </c>
    </row>
    <row r="7" ht="20.1" customHeight="1" spans="1:27" x14ac:dyDescent="0.25">
      <c r="A7" s="19">
        <v>3</v>
      </c>
      <c r="B7" s="44">
        <f>IF('PEDIDO COMERCIAL'!B19="","",'PEDIDO COMERCIAL'!B19)</f>
      </c>
      <c r="C7" s="45">
        <f>IF('PEDIDO COMERCIAL'!C19="","",'PEDIDO COMERCIAL'!C19)</f>
      </c>
      <c r="D7" s="23" t="e">
        <f>IF('PEDIDO COMERCIAL'!G19="","",'PEDIDO COMERCIAL'!G19)</f>
        <v>#VALUE!</v>
      </c>
      <c r="E7" s="46" t="s">
        <v>8</v>
      </c>
      <c r="F7" s="46" t="s">
        <v>8</v>
      </c>
      <c r="G7" s="46" t="s">
        <v>8</v>
      </c>
      <c r="H7" s="46" t="s">
        <v>8</v>
      </c>
      <c r="I7" s="46" t="s">
        <v>8</v>
      </c>
      <c r="J7" s="46" t="s">
        <v>8</v>
      </c>
      <c r="K7" s="46" t="s">
        <v>8</v>
      </c>
      <c r="L7" s="46" t="s">
        <v>8</v>
      </c>
      <c r="M7" s="46" t="s">
        <v>8</v>
      </c>
      <c r="N7" s="46" t="s">
        <v>8</v>
      </c>
      <c r="O7" s="46" t="s">
        <v>8</v>
      </c>
      <c r="P7" s="46" t="s">
        <v>8</v>
      </c>
      <c r="Q7" s="46" t="s">
        <v>8</v>
      </c>
      <c r="R7" s="46" t="s">
        <v>8</v>
      </c>
      <c r="S7" s="46" t="s">
        <v>8</v>
      </c>
      <c r="T7" s="46" t="s">
        <v>8</v>
      </c>
      <c r="U7" s="46" t="s">
        <v>8</v>
      </c>
      <c r="V7" s="46" t="s">
        <v>8</v>
      </c>
      <c r="W7" s="46" t="s">
        <v>8</v>
      </c>
      <c r="X7" s="46" t="s">
        <v>8</v>
      </c>
      <c r="Y7" s="46" t="s">
        <v>8</v>
      </c>
      <c r="Z7" s="44" t="e">
        <f t="shared" si="0"/>
        <v>#VALUE!</v>
      </c>
      <c r="AA7" s="23" t="e">
        <f t="shared" si="1"/>
        <v>#VALUE!</v>
      </c>
    </row>
    <row r="8" ht="20.1" customHeight="1" spans="1:27" x14ac:dyDescent="0.25">
      <c r="A8" s="25">
        <v>4</v>
      </c>
      <c r="B8" s="47">
        <f>IF('PEDIDO COMERCIAL'!B20="","",'PEDIDO COMERCIAL'!B20)</f>
      </c>
      <c r="C8" s="48">
        <f>IF('PEDIDO COMERCIAL'!C20="","",'PEDIDO COMERCIAL'!C20)</f>
      </c>
      <c r="D8" s="29" t="e">
        <f>IF('PEDIDO COMERCIAL'!G20="","",'PEDIDO COMERCIAL'!G20)</f>
        <v>#VALUE!</v>
      </c>
      <c r="E8" s="49" t="s">
        <v>8</v>
      </c>
      <c r="F8" s="49" t="s">
        <v>8</v>
      </c>
      <c r="G8" s="49" t="s">
        <v>8</v>
      </c>
      <c r="H8" s="49" t="s">
        <v>8</v>
      </c>
      <c r="I8" s="49" t="s">
        <v>8</v>
      </c>
      <c r="J8" s="49" t="s">
        <v>8</v>
      </c>
      <c r="K8" s="49" t="s">
        <v>8</v>
      </c>
      <c r="L8" s="49" t="s">
        <v>8</v>
      </c>
      <c r="M8" s="49" t="s">
        <v>8</v>
      </c>
      <c r="N8" s="49" t="s">
        <v>8</v>
      </c>
      <c r="O8" s="49" t="s">
        <v>8</v>
      </c>
      <c r="P8" s="49" t="s">
        <v>8</v>
      </c>
      <c r="Q8" s="49" t="s">
        <v>8</v>
      </c>
      <c r="R8" s="49" t="s">
        <v>8</v>
      </c>
      <c r="S8" s="49" t="s">
        <v>8</v>
      </c>
      <c r="T8" s="49" t="s">
        <v>8</v>
      </c>
      <c r="U8" s="49" t="s">
        <v>8</v>
      </c>
      <c r="V8" s="49" t="s">
        <v>8</v>
      </c>
      <c r="W8" s="49" t="s">
        <v>8</v>
      </c>
      <c r="X8" s="49" t="s">
        <v>8</v>
      </c>
      <c r="Y8" s="49" t="s">
        <v>8</v>
      </c>
      <c r="Z8" s="47" t="e">
        <f t="shared" si="0"/>
        <v>#VALUE!</v>
      </c>
      <c r="AA8" s="29" t="e">
        <f t="shared" si="1"/>
        <v>#VALUE!</v>
      </c>
    </row>
    <row r="9" ht="20.1" customHeight="1" spans="1:27" x14ac:dyDescent="0.25">
      <c r="A9" s="19">
        <v>5</v>
      </c>
      <c r="B9" s="44">
        <f>IF('PEDIDO COMERCIAL'!B21="","",'PEDIDO COMERCIAL'!B21)</f>
      </c>
      <c r="C9" s="45">
        <f>IF('PEDIDO COMERCIAL'!C21="","",'PEDIDO COMERCIAL'!C21)</f>
      </c>
      <c r="D9" s="23" t="e">
        <f>IF('PEDIDO COMERCIAL'!G21="","",'PEDIDO COMERCIAL'!G21)</f>
        <v>#VALUE!</v>
      </c>
      <c r="E9" s="46" t="s">
        <v>8</v>
      </c>
      <c r="F9" s="46" t="s">
        <v>8</v>
      </c>
      <c r="G9" s="46" t="s">
        <v>8</v>
      </c>
      <c r="H9" s="46" t="s">
        <v>8</v>
      </c>
      <c r="I9" s="46" t="s">
        <v>8</v>
      </c>
      <c r="J9" s="46" t="s">
        <v>8</v>
      </c>
      <c r="K9" s="46" t="s">
        <v>8</v>
      </c>
      <c r="L9" s="46" t="s">
        <v>8</v>
      </c>
      <c r="M9" s="46" t="s">
        <v>8</v>
      </c>
      <c r="N9" s="46" t="s">
        <v>8</v>
      </c>
      <c r="O9" s="46" t="s">
        <v>8</v>
      </c>
      <c r="P9" s="46" t="s">
        <v>8</v>
      </c>
      <c r="Q9" s="46" t="s">
        <v>8</v>
      </c>
      <c r="R9" s="46" t="s">
        <v>8</v>
      </c>
      <c r="S9" s="46" t="s">
        <v>8</v>
      </c>
      <c r="T9" s="46" t="s">
        <v>8</v>
      </c>
      <c r="U9" s="46" t="s">
        <v>8</v>
      </c>
      <c r="V9" s="46" t="s">
        <v>8</v>
      </c>
      <c r="W9" s="46" t="s">
        <v>8</v>
      </c>
      <c r="X9" s="46" t="s">
        <v>8</v>
      </c>
      <c r="Y9" s="46" t="s">
        <v>8</v>
      </c>
      <c r="Z9" s="44" t="e">
        <f t="shared" si="0"/>
        <v>#VALUE!</v>
      </c>
      <c r="AA9" s="23" t="e">
        <f t="shared" si="1"/>
        <v>#VALUE!</v>
      </c>
    </row>
    <row r="10" ht="20.1" customHeight="1" spans="1:27" x14ac:dyDescent="0.25">
      <c r="A10" s="25">
        <v>6</v>
      </c>
      <c r="B10" s="47">
        <f>IF('PEDIDO COMERCIAL'!B22="","",'PEDIDO COMERCIAL'!B22)</f>
      </c>
      <c r="C10" s="48">
        <f>IF('PEDIDO COMERCIAL'!C22="","",'PEDIDO COMERCIAL'!C22)</f>
      </c>
      <c r="D10" s="29" t="e">
        <f>IF('PEDIDO COMERCIAL'!G22="","",'PEDIDO COMERCIAL'!G22)</f>
        <v>#VALUE!</v>
      </c>
      <c r="E10" s="49" t="s">
        <v>8</v>
      </c>
      <c r="F10" s="49" t="s">
        <v>8</v>
      </c>
      <c r="G10" s="49" t="s">
        <v>8</v>
      </c>
      <c r="H10" s="49" t="s">
        <v>8</v>
      </c>
      <c r="I10" s="49" t="s">
        <v>8</v>
      </c>
      <c r="J10" s="49" t="s">
        <v>8</v>
      </c>
      <c r="K10" s="49" t="s">
        <v>8</v>
      </c>
      <c r="L10" s="49" t="s">
        <v>8</v>
      </c>
      <c r="M10" s="49" t="s">
        <v>8</v>
      </c>
      <c r="N10" s="49" t="s">
        <v>8</v>
      </c>
      <c r="O10" s="49" t="s">
        <v>8</v>
      </c>
      <c r="P10" s="49" t="s">
        <v>8</v>
      </c>
      <c r="Q10" s="49" t="s">
        <v>8</v>
      </c>
      <c r="R10" s="49" t="s">
        <v>8</v>
      </c>
      <c r="S10" s="49" t="s">
        <v>8</v>
      </c>
      <c r="T10" s="49" t="s">
        <v>8</v>
      </c>
      <c r="U10" s="49" t="s">
        <v>8</v>
      </c>
      <c r="V10" s="49" t="s">
        <v>8</v>
      </c>
      <c r="W10" s="49" t="s">
        <v>8</v>
      </c>
      <c r="X10" s="49" t="s">
        <v>8</v>
      </c>
      <c r="Y10" s="49" t="s">
        <v>8</v>
      </c>
      <c r="Z10" s="47" t="e">
        <f t="shared" si="0"/>
        <v>#VALUE!</v>
      </c>
      <c r="AA10" s="29" t="e">
        <f t="shared" si="1"/>
        <v>#VALUE!</v>
      </c>
    </row>
    <row r="11" ht="20.1" customHeight="1" spans="1:27" x14ac:dyDescent="0.25">
      <c r="A11" s="19">
        <v>7</v>
      </c>
      <c r="B11" s="44">
        <f>IF('PEDIDO COMERCIAL'!B23="","",'PEDIDO COMERCIAL'!B23)</f>
      </c>
      <c r="C11" s="45">
        <f>IF('PEDIDO COMERCIAL'!C23="","",'PEDIDO COMERCIAL'!C23)</f>
      </c>
      <c r="D11" s="23" t="e">
        <f>IF('PEDIDO COMERCIAL'!G23="","",'PEDIDO COMERCIAL'!G23)</f>
        <v>#VALUE!</v>
      </c>
      <c r="E11" s="46" t="s">
        <v>8</v>
      </c>
      <c r="F11" s="46" t="s">
        <v>8</v>
      </c>
      <c r="G11" s="46" t="s">
        <v>8</v>
      </c>
      <c r="H11" s="46" t="s">
        <v>8</v>
      </c>
      <c r="I11" s="46" t="s">
        <v>8</v>
      </c>
      <c r="J11" s="46" t="s">
        <v>8</v>
      </c>
      <c r="K11" s="46" t="s">
        <v>8</v>
      </c>
      <c r="L11" s="46" t="s">
        <v>8</v>
      </c>
      <c r="M11" s="46" t="s">
        <v>8</v>
      </c>
      <c r="N11" s="46" t="s">
        <v>8</v>
      </c>
      <c r="O11" s="46" t="s">
        <v>8</v>
      </c>
      <c r="P11" s="46" t="s">
        <v>8</v>
      </c>
      <c r="Q11" s="46" t="s">
        <v>8</v>
      </c>
      <c r="R11" s="46" t="s">
        <v>8</v>
      </c>
      <c r="S11" s="46" t="s">
        <v>8</v>
      </c>
      <c r="T11" s="46" t="s">
        <v>8</v>
      </c>
      <c r="U11" s="46" t="s">
        <v>8</v>
      </c>
      <c r="V11" s="46" t="s">
        <v>8</v>
      </c>
      <c r="W11" s="46" t="s">
        <v>8</v>
      </c>
      <c r="X11" s="46" t="s">
        <v>8</v>
      </c>
      <c r="Y11" s="46" t="s">
        <v>8</v>
      </c>
      <c r="Z11" s="44" t="e">
        <f t="shared" si="0"/>
        <v>#VALUE!</v>
      </c>
      <c r="AA11" s="23" t="e">
        <f t="shared" si="1"/>
        <v>#VALUE!</v>
      </c>
    </row>
    <row r="12" ht="20.1" customHeight="1" spans="1:27" x14ac:dyDescent="0.25">
      <c r="A12" s="25">
        <v>8</v>
      </c>
      <c r="B12" s="47">
        <f>IF('PEDIDO COMERCIAL'!B24="","",'PEDIDO COMERCIAL'!B24)</f>
      </c>
      <c r="C12" s="48">
        <f>IF('PEDIDO COMERCIAL'!C24="","",'PEDIDO COMERCIAL'!C24)</f>
      </c>
      <c r="D12" s="29" t="e">
        <f>IF('PEDIDO COMERCIAL'!G24="","",'PEDIDO COMERCIAL'!G24)</f>
        <v>#VALUE!</v>
      </c>
      <c r="E12" s="49" t="s">
        <v>8</v>
      </c>
      <c r="F12" s="49" t="s">
        <v>8</v>
      </c>
      <c r="G12" s="49" t="s">
        <v>8</v>
      </c>
      <c r="H12" s="49" t="s">
        <v>8</v>
      </c>
      <c r="I12" s="49" t="s">
        <v>8</v>
      </c>
      <c r="J12" s="49" t="s">
        <v>8</v>
      </c>
      <c r="K12" s="49" t="s">
        <v>8</v>
      </c>
      <c r="L12" s="49" t="s">
        <v>8</v>
      </c>
      <c r="M12" s="49" t="s">
        <v>8</v>
      </c>
      <c r="N12" s="49" t="s">
        <v>8</v>
      </c>
      <c r="O12" s="49" t="s">
        <v>8</v>
      </c>
      <c r="P12" s="49" t="s">
        <v>8</v>
      </c>
      <c r="Q12" s="49" t="s">
        <v>8</v>
      </c>
      <c r="R12" s="49" t="s">
        <v>8</v>
      </c>
      <c r="S12" s="49" t="s">
        <v>8</v>
      </c>
      <c r="T12" s="49" t="s">
        <v>8</v>
      </c>
      <c r="U12" s="49" t="s">
        <v>8</v>
      </c>
      <c r="V12" s="49" t="s">
        <v>8</v>
      </c>
      <c r="W12" s="49" t="s">
        <v>8</v>
      </c>
      <c r="X12" s="49" t="s">
        <v>8</v>
      </c>
      <c r="Y12" s="49" t="s">
        <v>8</v>
      </c>
      <c r="Z12" s="47" t="e">
        <f t="shared" si="0"/>
        <v>#VALUE!</v>
      </c>
      <c r="AA12" s="29" t="e">
        <f t="shared" si="1"/>
        <v>#VALUE!</v>
      </c>
    </row>
    <row r="13" ht="20.1" customHeight="1" spans="1:27" x14ac:dyDescent="0.25">
      <c r="A13" s="19">
        <v>9</v>
      </c>
      <c r="B13" s="44">
        <f>IF('PEDIDO COMERCIAL'!B25="","",'PEDIDO COMERCIAL'!B25)</f>
      </c>
      <c r="C13" s="45">
        <f>IF('PEDIDO COMERCIAL'!C25="","",'PEDIDO COMERCIAL'!C25)</f>
      </c>
      <c r="D13" s="23" t="e">
        <f>IF('PEDIDO COMERCIAL'!G25="","",'PEDIDO COMERCIAL'!G25)</f>
        <v>#VALUE!</v>
      </c>
      <c r="E13" s="46" t="s">
        <v>8</v>
      </c>
      <c r="F13" s="46" t="s">
        <v>8</v>
      </c>
      <c r="G13" s="46" t="s">
        <v>8</v>
      </c>
      <c r="H13" s="46" t="s">
        <v>8</v>
      </c>
      <c r="I13" s="46" t="s">
        <v>8</v>
      </c>
      <c r="J13" s="46" t="s">
        <v>8</v>
      </c>
      <c r="K13" s="46" t="s">
        <v>8</v>
      </c>
      <c r="L13" s="46" t="s">
        <v>8</v>
      </c>
      <c r="M13" s="46" t="s">
        <v>8</v>
      </c>
      <c r="N13" s="46" t="s">
        <v>8</v>
      </c>
      <c r="O13" s="46" t="s">
        <v>8</v>
      </c>
      <c r="P13" s="46" t="s">
        <v>8</v>
      </c>
      <c r="Q13" s="46" t="s">
        <v>8</v>
      </c>
      <c r="R13" s="46" t="s">
        <v>8</v>
      </c>
      <c r="S13" s="46" t="s">
        <v>8</v>
      </c>
      <c r="T13" s="46" t="s">
        <v>8</v>
      </c>
      <c r="U13" s="46" t="s">
        <v>8</v>
      </c>
      <c r="V13" s="46" t="s">
        <v>8</v>
      </c>
      <c r="W13" s="46" t="s">
        <v>8</v>
      </c>
      <c r="X13" s="46" t="s">
        <v>8</v>
      </c>
      <c r="Y13" s="46" t="s">
        <v>8</v>
      </c>
      <c r="Z13" s="44" t="e">
        <f t="shared" si="0"/>
        <v>#VALUE!</v>
      </c>
      <c r="AA13" s="23" t="e">
        <f t="shared" si="1"/>
        <v>#VALUE!</v>
      </c>
    </row>
    <row r="14" ht="20.1" customHeight="1" spans="1:27" x14ac:dyDescent="0.25">
      <c r="A14" s="25">
        <v>10</v>
      </c>
      <c r="B14" s="47">
        <f>IF('PEDIDO COMERCIAL'!B26="","",'PEDIDO COMERCIAL'!B26)</f>
      </c>
      <c r="C14" s="48">
        <f>IF('PEDIDO COMERCIAL'!C26="","",'PEDIDO COMERCIAL'!C26)</f>
      </c>
      <c r="D14" s="29" t="e">
        <f>IF('PEDIDO COMERCIAL'!G26="","",'PEDIDO COMERCIAL'!G26)</f>
        <v>#VALUE!</v>
      </c>
      <c r="E14" s="49" t="s">
        <v>8</v>
      </c>
      <c r="F14" s="49" t="s">
        <v>8</v>
      </c>
      <c r="G14" s="49" t="s">
        <v>8</v>
      </c>
      <c r="H14" s="49" t="s">
        <v>8</v>
      </c>
      <c r="I14" s="49" t="s">
        <v>8</v>
      </c>
      <c r="J14" s="49" t="s">
        <v>8</v>
      </c>
      <c r="K14" s="49" t="s">
        <v>8</v>
      </c>
      <c r="L14" s="49" t="s">
        <v>8</v>
      </c>
      <c r="M14" s="49" t="s">
        <v>8</v>
      </c>
      <c r="N14" s="49" t="s">
        <v>8</v>
      </c>
      <c r="O14" s="49" t="s">
        <v>8</v>
      </c>
      <c r="P14" s="49" t="s">
        <v>8</v>
      </c>
      <c r="Q14" s="49" t="s">
        <v>8</v>
      </c>
      <c r="R14" s="49" t="s">
        <v>8</v>
      </c>
      <c r="S14" s="49" t="s">
        <v>8</v>
      </c>
      <c r="T14" s="49" t="s">
        <v>8</v>
      </c>
      <c r="U14" s="49" t="s">
        <v>8</v>
      </c>
      <c r="V14" s="49" t="s">
        <v>8</v>
      </c>
      <c r="W14" s="49" t="s">
        <v>8</v>
      </c>
      <c r="X14" s="49" t="s">
        <v>8</v>
      </c>
      <c r="Y14" s="49" t="s">
        <v>8</v>
      </c>
      <c r="Z14" s="47" t="e">
        <f t="shared" si="0"/>
        <v>#VALUE!</v>
      </c>
      <c r="AA14" s="29" t="e">
        <f t="shared" si="1"/>
        <v>#VALUE!</v>
      </c>
    </row>
    <row r="15" ht="20.1" customHeight="1" spans="1:27" x14ac:dyDescent="0.25">
      <c r="A15" s="19">
        <v>11</v>
      </c>
      <c r="B15" s="44">
        <f>IF('PEDIDO COMERCIAL'!B27="","",'PEDIDO COMERCIAL'!B27)</f>
      </c>
      <c r="C15" s="45">
        <f>IF('PEDIDO COMERCIAL'!C27="","",'PEDIDO COMERCIAL'!C27)</f>
      </c>
      <c r="D15" s="23" t="e">
        <f>IF('PEDIDO COMERCIAL'!G27="","",'PEDIDO COMERCIAL'!G27)</f>
        <v>#VALUE!</v>
      </c>
      <c r="E15" s="46" t="s">
        <v>8</v>
      </c>
      <c r="F15" s="46" t="s">
        <v>8</v>
      </c>
      <c r="G15" s="46" t="s">
        <v>8</v>
      </c>
      <c r="H15" s="46" t="s">
        <v>8</v>
      </c>
      <c r="I15" s="46" t="s">
        <v>8</v>
      </c>
      <c r="J15" s="46" t="s">
        <v>8</v>
      </c>
      <c r="K15" s="46" t="s">
        <v>8</v>
      </c>
      <c r="L15" s="46" t="s">
        <v>8</v>
      </c>
      <c r="M15" s="46" t="s">
        <v>8</v>
      </c>
      <c r="N15" s="46" t="s">
        <v>8</v>
      </c>
      <c r="O15" s="46" t="s">
        <v>8</v>
      </c>
      <c r="P15" s="46" t="s">
        <v>8</v>
      </c>
      <c r="Q15" s="46" t="s">
        <v>8</v>
      </c>
      <c r="R15" s="46" t="s">
        <v>8</v>
      </c>
      <c r="S15" s="46" t="s">
        <v>8</v>
      </c>
      <c r="T15" s="46" t="s">
        <v>8</v>
      </c>
      <c r="U15" s="46" t="s">
        <v>8</v>
      </c>
      <c r="V15" s="46" t="s">
        <v>8</v>
      </c>
      <c r="W15" s="46" t="s">
        <v>8</v>
      </c>
      <c r="X15" s="46" t="s">
        <v>8</v>
      </c>
      <c r="Y15" s="46" t="s">
        <v>8</v>
      </c>
      <c r="Z15" s="44" t="e">
        <f t="shared" si="0"/>
        <v>#VALUE!</v>
      </c>
      <c r="AA15" s="23" t="e">
        <f t="shared" si="1"/>
        <v>#VALUE!</v>
      </c>
    </row>
    <row r="16" ht="20.1" customHeight="1" spans="1:27" x14ac:dyDescent="0.25">
      <c r="A16" s="25">
        <v>12</v>
      </c>
      <c r="B16" s="47">
        <f>IF('PEDIDO COMERCIAL'!B28="","",'PEDIDO COMERCIAL'!B28)</f>
      </c>
      <c r="C16" s="48">
        <f>IF('PEDIDO COMERCIAL'!C28="","",'PEDIDO COMERCIAL'!C28)</f>
      </c>
      <c r="D16" s="29" t="e">
        <f>IF('PEDIDO COMERCIAL'!G28="","",'PEDIDO COMERCIAL'!G28)</f>
        <v>#VALUE!</v>
      </c>
      <c r="E16" s="49" t="s">
        <v>8</v>
      </c>
      <c r="F16" s="49" t="s">
        <v>8</v>
      </c>
      <c r="G16" s="49" t="s">
        <v>8</v>
      </c>
      <c r="H16" s="49" t="s">
        <v>8</v>
      </c>
      <c r="I16" s="49" t="s">
        <v>8</v>
      </c>
      <c r="J16" s="49" t="s">
        <v>8</v>
      </c>
      <c r="K16" s="49" t="s">
        <v>8</v>
      </c>
      <c r="L16" s="49" t="s">
        <v>8</v>
      </c>
      <c r="M16" s="49" t="s">
        <v>8</v>
      </c>
      <c r="N16" s="49" t="s">
        <v>8</v>
      </c>
      <c r="O16" s="49" t="s">
        <v>8</v>
      </c>
      <c r="P16" s="49" t="s">
        <v>8</v>
      </c>
      <c r="Q16" s="49" t="s">
        <v>8</v>
      </c>
      <c r="R16" s="49" t="s">
        <v>8</v>
      </c>
      <c r="S16" s="49" t="s">
        <v>8</v>
      </c>
      <c r="T16" s="49" t="s">
        <v>8</v>
      </c>
      <c r="U16" s="49" t="s">
        <v>8</v>
      </c>
      <c r="V16" s="49" t="s">
        <v>8</v>
      </c>
      <c r="W16" s="49" t="s">
        <v>8</v>
      </c>
      <c r="X16" s="49" t="s">
        <v>8</v>
      </c>
      <c r="Y16" s="49" t="s">
        <v>8</v>
      </c>
      <c r="Z16" s="47" t="e">
        <f t="shared" si="0"/>
        <v>#VALUE!</v>
      </c>
      <c r="AA16" s="29" t="e">
        <f t="shared" si="1"/>
        <v>#VALUE!</v>
      </c>
    </row>
    <row r="17" ht="20.1" customHeight="1" spans="1:27" x14ac:dyDescent="0.25">
      <c r="A17" s="19">
        <v>13</v>
      </c>
      <c r="B17" s="44">
        <f>IF('PEDIDO COMERCIAL'!B29="","",'PEDIDO COMERCIAL'!B29)</f>
      </c>
      <c r="C17" s="45">
        <f>IF('PEDIDO COMERCIAL'!C29="","",'PEDIDO COMERCIAL'!C29)</f>
      </c>
      <c r="D17" s="23" t="e">
        <f>IF('PEDIDO COMERCIAL'!G29="","",'PEDIDO COMERCIAL'!G29)</f>
        <v>#VALUE!</v>
      </c>
      <c r="E17" s="46" t="s">
        <v>8</v>
      </c>
      <c r="F17" s="46" t="s">
        <v>8</v>
      </c>
      <c r="G17" s="46" t="s">
        <v>8</v>
      </c>
      <c r="H17" s="46" t="s">
        <v>8</v>
      </c>
      <c r="I17" s="46" t="s">
        <v>8</v>
      </c>
      <c r="J17" s="46" t="s">
        <v>8</v>
      </c>
      <c r="K17" s="46" t="s">
        <v>8</v>
      </c>
      <c r="L17" s="46" t="s">
        <v>8</v>
      </c>
      <c r="M17" s="46" t="s">
        <v>8</v>
      </c>
      <c r="N17" s="46" t="s">
        <v>8</v>
      </c>
      <c r="O17" s="46" t="s">
        <v>8</v>
      </c>
      <c r="P17" s="46" t="s">
        <v>8</v>
      </c>
      <c r="Q17" s="46" t="s">
        <v>8</v>
      </c>
      <c r="R17" s="46" t="s">
        <v>8</v>
      </c>
      <c r="S17" s="46" t="s">
        <v>8</v>
      </c>
      <c r="T17" s="46" t="s">
        <v>8</v>
      </c>
      <c r="U17" s="46" t="s">
        <v>8</v>
      </c>
      <c r="V17" s="46" t="s">
        <v>8</v>
      </c>
      <c r="W17" s="46" t="s">
        <v>8</v>
      </c>
      <c r="X17" s="46" t="s">
        <v>8</v>
      </c>
      <c r="Y17" s="46" t="s">
        <v>8</v>
      </c>
      <c r="Z17" s="44" t="e">
        <f t="shared" si="0"/>
        <v>#VALUE!</v>
      </c>
      <c r="AA17" s="23" t="e">
        <f t="shared" si="1"/>
        <v>#VALUE!</v>
      </c>
    </row>
    <row r="18" ht="20.1" customHeight="1" spans="1:27" x14ac:dyDescent="0.25">
      <c r="A18" s="25">
        <v>14</v>
      </c>
      <c r="B18" s="47">
        <f>IF('PEDIDO COMERCIAL'!B30="","",'PEDIDO COMERCIAL'!B30)</f>
      </c>
      <c r="C18" s="48">
        <f>IF('PEDIDO COMERCIAL'!C30="","",'PEDIDO COMERCIAL'!C30)</f>
      </c>
      <c r="D18" s="29" t="e">
        <f>IF('PEDIDO COMERCIAL'!G30="","",'PEDIDO COMERCIAL'!G30)</f>
        <v>#VALUE!</v>
      </c>
      <c r="E18" s="49" t="s">
        <v>8</v>
      </c>
      <c r="F18" s="49" t="s">
        <v>8</v>
      </c>
      <c r="G18" s="49" t="s">
        <v>8</v>
      </c>
      <c r="H18" s="49" t="s">
        <v>8</v>
      </c>
      <c r="I18" s="49" t="s">
        <v>8</v>
      </c>
      <c r="J18" s="49" t="s">
        <v>8</v>
      </c>
      <c r="K18" s="49" t="s">
        <v>8</v>
      </c>
      <c r="L18" s="49" t="s">
        <v>8</v>
      </c>
      <c r="M18" s="49" t="s">
        <v>8</v>
      </c>
      <c r="N18" s="49" t="s">
        <v>8</v>
      </c>
      <c r="O18" s="49" t="s">
        <v>8</v>
      </c>
      <c r="P18" s="49" t="s">
        <v>8</v>
      </c>
      <c r="Q18" s="49" t="s">
        <v>8</v>
      </c>
      <c r="R18" s="49" t="s">
        <v>8</v>
      </c>
      <c r="S18" s="49" t="s">
        <v>8</v>
      </c>
      <c r="T18" s="49" t="s">
        <v>8</v>
      </c>
      <c r="U18" s="49" t="s">
        <v>8</v>
      </c>
      <c r="V18" s="49" t="s">
        <v>8</v>
      </c>
      <c r="W18" s="49" t="s">
        <v>8</v>
      </c>
      <c r="X18" s="49" t="s">
        <v>8</v>
      </c>
      <c r="Y18" s="49" t="s">
        <v>8</v>
      </c>
      <c r="Z18" s="47" t="e">
        <f t="shared" si="0"/>
        <v>#VALUE!</v>
      </c>
      <c r="AA18" s="29" t="e">
        <f t="shared" si="1"/>
        <v>#VALUE!</v>
      </c>
    </row>
    <row r="19" ht="20.1" customHeight="1" spans="1:27" x14ac:dyDescent="0.25">
      <c r="A19" s="19">
        <v>15</v>
      </c>
      <c r="B19" s="44">
        <f>IF('PEDIDO COMERCIAL'!B31="","",'PEDIDO COMERCIAL'!B31)</f>
      </c>
      <c r="C19" s="45">
        <f>IF('PEDIDO COMERCIAL'!C31="","",'PEDIDO COMERCIAL'!C31)</f>
      </c>
      <c r="D19" s="23" t="e">
        <f>IF('PEDIDO COMERCIAL'!G31="","",'PEDIDO COMERCIAL'!G31)</f>
        <v>#VALUE!</v>
      </c>
      <c r="E19" s="46" t="s">
        <v>8</v>
      </c>
      <c r="F19" s="46" t="s">
        <v>8</v>
      </c>
      <c r="G19" s="46" t="s">
        <v>8</v>
      </c>
      <c r="H19" s="46" t="s">
        <v>8</v>
      </c>
      <c r="I19" s="46" t="s">
        <v>8</v>
      </c>
      <c r="J19" s="46" t="s">
        <v>8</v>
      </c>
      <c r="K19" s="46" t="s">
        <v>8</v>
      </c>
      <c r="L19" s="46" t="s">
        <v>8</v>
      </c>
      <c r="M19" s="46" t="s">
        <v>8</v>
      </c>
      <c r="N19" s="46" t="s">
        <v>8</v>
      </c>
      <c r="O19" s="46" t="s">
        <v>8</v>
      </c>
      <c r="P19" s="46" t="s">
        <v>8</v>
      </c>
      <c r="Q19" s="46" t="s">
        <v>8</v>
      </c>
      <c r="R19" s="46" t="s">
        <v>8</v>
      </c>
      <c r="S19" s="46" t="s">
        <v>8</v>
      </c>
      <c r="T19" s="46" t="s">
        <v>8</v>
      </c>
      <c r="U19" s="46" t="s">
        <v>8</v>
      </c>
      <c r="V19" s="46" t="s">
        <v>8</v>
      </c>
      <c r="W19" s="46" t="s">
        <v>8</v>
      </c>
      <c r="X19" s="46" t="s">
        <v>8</v>
      </c>
      <c r="Y19" s="46" t="s">
        <v>8</v>
      </c>
      <c r="Z19" s="44" t="e">
        <f t="shared" si="0"/>
        <v>#VALUE!</v>
      </c>
      <c r="AA19" s="23" t="e">
        <f t="shared" si="1"/>
        <v>#VALUE!</v>
      </c>
    </row>
    <row r="20" ht="20.1" customHeight="1" spans="1:27" x14ac:dyDescent="0.25">
      <c r="A20" s="25">
        <v>16</v>
      </c>
      <c r="B20" s="47">
        <f>IF('PEDIDO COMERCIAL'!B32="","",'PEDIDO COMERCIAL'!B32)</f>
      </c>
      <c r="C20" s="48">
        <f>IF('PEDIDO COMERCIAL'!C32="","",'PEDIDO COMERCIAL'!C32)</f>
      </c>
      <c r="D20" s="29" t="e">
        <f>IF('PEDIDO COMERCIAL'!G32="","",'PEDIDO COMERCIAL'!G32)</f>
        <v>#VALUE!</v>
      </c>
      <c r="E20" s="49" t="s">
        <v>8</v>
      </c>
      <c r="F20" s="49" t="s">
        <v>8</v>
      </c>
      <c r="G20" s="49" t="s">
        <v>8</v>
      </c>
      <c r="H20" s="49" t="s">
        <v>8</v>
      </c>
      <c r="I20" s="49" t="s">
        <v>8</v>
      </c>
      <c r="J20" s="49" t="s">
        <v>8</v>
      </c>
      <c r="K20" s="49" t="s">
        <v>8</v>
      </c>
      <c r="L20" s="49" t="s">
        <v>8</v>
      </c>
      <c r="M20" s="49" t="s">
        <v>8</v>
      </c>
      <c r="N20" s="49" t="s">
        <v>8</v>
      </c>
      <c r="O20" s="49" t="s">
        <v>8</v>
      </c>
      <c r="P20" s="49" t="s">
        <v>8</v>
      </c>
      <c r="Q20" s="49" t="s">
        <v>8</v>
      </c>
      <c r="R20" s="49" t="s">
        <v>8</v>
      </c>
      <c r="S20" s="49" t="s">
        <v>8</v>
      </c>
      <c r="T20" s="49" t="s">
        <v>8</v>
      </c>
      <c r="U20" s="49" t="s">
        <v>8</v>
      </c>
      <c r="V20" s="49" t="s">
        <v>8</v>
      </c>
      <c r="W20" s="49" t="s">
        <v>8</v>
      </c>
      <c r="X20" s="49" t="s">
        <v>8</v>
      </c>
      <c r="Y20" s="49" t="s">
        <v>8</v>
      </c>
      <c r="Z20" s="47" t="e">
        <f t="shared" si="0"/>
        <v>#VALUE!</v>
      </c>
      <c r="AA20" s="29" t="e">
        <f t="shared" si="1"/>
        <v>#VALUE!</v>
      </c>
    </row>
    <row r="21" ht="20.1" customHeight="1" spans="1:27" x14ac:dyDescent="0.25">
      <c r="A21" s="19">
        <v>17</v>
      </c>
      <c r="B21" s="44">
        <f>IF('PEDIDO COMERCIAL'!B33="","",'PEDIDO COMERCIAL'!B33)</f>
      </c>
      <c r="C21" s="45">
        <f>IF('PEDIDO COMERCIAL'!C33="","",'PEDIDO COMERCIAL'!C33)</f>
      </c>
      <c r="D21" s="23" t="e">
        <f>IF('PEDIDO COMERCIAL'!G33="","",'PEDIDO COMERCIAL'!G33)</f>
        <v>#VALUE!</v>
      </c>
      <c r="E21" s="46" t="s">
        <v>8</v>
      </c>
      <c r="F21" s="46" t="s">
        <v>8</v>
      </c>
      <c r="G21" s="46" t="s">
        <v>8</v>
      </c>
      <c r="H21" s="46" t="s">
        <v>8</v>
      </c>
      <c r="I21" s="46" t="s">
        <v>8</v>
      </c>
      <c r="J21" s="46" t="s">
        <v>8</v>
      </c>
      <c r="K21" s="46" t="s">
        <v>8</v>
      </c>
      <c r="L21" s="46" t="s">
        <v>8</v>
      </c>
      <c r="M21" s="46" t="s">
        <v>8</v>
      </c>
      <c r="N21" s="46" t="s">
        <v>8</v>
      </c>
      <c r="O21" s="46" t="s">
        <v>8</v>
      </c>
      <c r="P21" s="46" t="s">
        <v>8</v>
      </c>
      <c r="Q21" s="46" t="s">
        <v>8</v>
      </c>
      <c r="R21" s="46" t="s">
        <v>8</v>
      </c>
      <c r="S21" s="46" t="s">
        <v>8</v>
      </c>
      <c r="T21" s="46" t="s">
        <v>8</v>
      </c>
      <c r="U21" s="46" t="s">
        <v>8</v>
      </c>
      <c r="V21" s="46" t="s">
        <v>8</v>
      </c>
      <c r="W21" s="46" t="s">
        <v>8</v>
      </c>
      <c r="X21" s="46" t="s">
        <v>8</v>
      </c>
      <c r="Y21" s="46" t="s">
        <v>8</v>
      </c>
      <c r="Z21" s="44" t="e">
        <f t="shared" si="0"/>
        <v>#VALUE!</v>
      </c>
      <c r="AA21" s="23" t="e">
        <f t="shared" si="1"/>
        <v>#VALUE!</v>
      </c>
    </row>
    <row r="22" ht="20.1" customHeight="1" spans="1:27" x14ac:dyDescent="0.25">
      <c r="A22" s="25">
        <v>18</v>
      </c>
      <c r="B22" s="47">
        <f>IF('PEDIDO COMERCIAL'!B34="","",'PEDIDO COMERCIAL'!B34)</f>
      </c>
      <c r="C22" s="48">
        <f>IF('PEDIDO COMERCIAL'!C34="","",'PEDIDO COMERCIAL'!C34)</f>
      </c>
      <c r="D22" s="29" t="e">
        <f>IF('PEDIDO COMERCIAL'!G34="","",'PEDIDO COMERCIAL'!G34)</f>
        <v>#VALUE!</v>
      </c>
      <c r="E22" s="49" t="s">
        <v>8</v>
      </c>
      <c r="F22" s="49" t="s">
        <v>8</v>
      </c>
      <c r="G22" s="49" t="s">
        <v>8</v>
      </c>
      <c r="H22" s="49" t="s">
        <v>8</v>
      </c>
      <c r="I22" s="49" t="s">
        <v>8</v>
      </c>
      <c r="J22" s="49" t="s">
        <v>8</v>
      </c>
      <c r="K22" s="49" t="s">
        <v>8</v>
      </c>
      <c r="L22" s="49" t="s">
        <v>8</v>
      </c>
      <c r="M22" s="49" t="s">
        <v>8</v>
      </c>
      <c r="N22" s="49" t="s">
        <v>8</v>
      </c>
      <c r="O22" s="49" t="s">
        <v>8</v>
      </c>
      <c r="P22" s="49" t="s">
        <v>8</v>
      </c>
      <c r="Q22" s="49" t="s">
        <v>8</v>
      </c>
      <c r="R22" s="49" t="s">
        <v>8</v>
      </c>
      <c r="S22" s="49" t="s">
        <v>8</v>
      </c>
      <c r="T22" s="49" t="s">
        <v>8</v>
      </c>
      <c r="U22" s="49" t="s">
        <v>8</v>
      </c>
      <c r="V22" s="49" t="s">
        <v>8</v>
      </c>
      <c r="W22" s="49" t="s">
        <v>8</v>
      </c>
      <c r="X22" s="49" t="s">
        <v>8</v>
      </c>
      <c r="Y22" s="49" t="s">
        <v>8</v>
      </c>
      <c r="Z22" s="47" t="e">
        <f t="shared" si="0"/>
        <v>#VALUE!</v>
      </c>
      <c r="AA22" s="29" t="e">
        <f t="shared" si="1"/>
        <v>#VALUE!</v>
      </c>
    </row>
    <row r="23" ht="20.1" customHeight="1" spans="1:27" x14ac:dyDescent="0.25">
      <c r="A23" s="19">
        <v>19</v>
      </c>
      <c r="B23" s="44">
        <f>IF('PEDIDO COMERCIAL'!B35="","",'PEDIDO COMERCIAL'!B35)</f>
      </c>
      <c r="C23" s="45">
        <f>IF('PEDIDO COMERCIAL'!C35="","",'PEDIDO COMERCIAL'!C35)</f>
      </c>
      <c r="D23" s="23" t="e">
        <f>IF('PEDIDO COMERCIAL'!G35="","",'PEDIDO COMERCIAL'!G35)</f>
        <v>#VALUE!</v>
      </c>
      <c r="E23" s="46" t="s">
        <v>8</v>
      </c>
      <c r="F23" s="46" t="s">
        <v>8</v>
      </c>
      <c r="G23" s="46" t="s">
        <v>8</v>
      </c>
      <c r="H23" s="46" t="s">
        <v>8</v>
      </c>
      <c r="I23" s="46" t="s">
        <v>8</v>
      </c>
      <c r="J23" s="46" t="s">
        <v>8</v>
      </c>
      <c r="K23" s="46" t="s">
        <v>8</v>
      </c>
      <c r="L23" s="46" t="s">
        <v>8</v>
      </c>
      <c r="M23" s="46" t="s">
        <v>8</v>
      </c>
      <c r="N23" s="46" t="s">
        <v>8</v>
      </c>
      <c r="O23" s="46" t="s">
        <v>8</v>
      </c>
      <c r="P23" s="46" t="s">
        <v>8</v>
      </c>
      <c r="Q23" s="46" t="s">
        <v>8</v>
      </c>
      <c r="R23" s="46" t="s">
        <v>8</v>
      </c>
      <c r="S23" s="46" t="s">
        <v>8</v>
      </c>
      <c r="T23" s="46" t="s">
        <v>8</v>
      </c>
      <c r="U23" s="46" t="s">
        <v>8</v>
      </c>
      <c r="V23" s="46" t="s">
        <v>8</v>
      </c>
      <c r="W23" s="46" t="s">
        <v>8</v>
      </c>
      <c r="X23" s="46" t="s">
        <v>8</v>
      </c>
      <c r="Y23" s="46" t="s">
        <v>8</v>
      </c>
      <c r="Z23" s="44" t="e">
        <f t="shared" si="0"/>
        <v>#VALUE!</v>
      </c>
      <c r="AA23" s="23" t="e">
        <f t="shared" si="1"/>
        <v>#VALUE!</v>
      </c>
    </row>
    <row r="24" ht="20.1" customHeight="1" spans="1:27" x14ac:dyDescent="0.25">
      <c r="A24" s="25">
        <v>20</v>
      </c>
      <c r="B24" s="47">
        <f>IF('PEDIDO COMERCIAL'!B36="","",'PEDIDO COMERCIAL'!B36)</f>
      </c>
      <c r="C24" s="48">
        <f>IF('PEDIDO COMERCIAL'!C36="","",'PEDIDO COMERCIAL'!C36)</f>
      </c>
      <c r="D24" s="29" t="e">
        <f>IF('PEDIDO COMERCIAL'!G36="","",'PEDIDO COMERCIAL'!G36)</f>
        <v>#VALUE!</v>
      </c>
      <c r="E24" s="49" t="s">
        <v>8</v>
      </c>
      <c r="F24" s="49" t="s">
        <v>8</v>
      </c>
      <c r="G24" s="49" t="s">
        <v>8</v>
      </c>
      <c r="H24" s="49" t="s">
        <v>8</v>
      </c>
      <c r="I24" s="49" t="s">
        <v>8</v>
      </c>
      <c r="J24" s="49" t="s">
        <v>8</v>
      </c>
      <c r="K24" s="49" t="s">
        <v>8</v>
      </c>
      <c r="L24" s="49" t="s">
        <v>8</v>
      </c>
      <c r="M24" s="49" t="s">
        <v>8</v>
      </c>
      <c r="N24" s="49" t="s">
        <v>8</v>
      </c>
      <c r="O24" s="49" t="s">
        <v>8</v>
      </c>
      <c r="P24" s="49" t="s">
        <v>8</v>
      </c>
      <c r="Q24" s="49" t="s">
        <v>8</v>
      </c>
      <c r="R24" s="49" t="s">
        <v>8</v>
      </c>
      <c r="S24" s="49" t="s">
        <v>8</v>
      </c>
      <c r="T24" s="49" t="s">
        <v>8</v>
      </c>
      <c r="U24" s="49" t="s">
        <v>8</v>
      </c>
      <c r="V24" s="49" t="s">
        <v>8</v>
      </c>
      <c r="W24" s="49" t="s">
        <v>8</v>
      </c>
      <c r="X24" s="49" t="s">
        <v>8</v>
      </c>
      <c r="Y24" s="49" t="s">
        <v>8</v>
      </c>
      <c r="Z24" s="47" t="e">
        <f t="shared" si="0"/>
        <v>#VALUE!</v>
      </c>
      <c r="AA24" s="29" t="e">
        <f t="shared" si="1"/>
        <v>#VALUE!</v>
      </c>
    </row>
    <row r="25" ht="20.1" customHeight="1" spans="1:27" x14ac:dyDescent="0.25">
      <c r="A25" s="19">
        <v>21</v>
      </c>
      <c r="B25" s="44">
        <f>IF('PEDIDO COMERCIAL'!B37="","",'PEDIDO COMERCIAL'!B37)</f>
      </c>
      <c r="C25" s="45">
        <f>IF('PEDIDO COMERCIAL'!C37="","",'PEDIDO COMERCIAL'!C37)</f>
      </c>
      <c r="D25" s="23" t="e">
        <f>IF('PEDIDO COMERCIAL'!G37="","",'PEDIDO COMERCIAL'!G37)</f>
        <v>#VALUE!</v>
      </c>
      <c r="E25" s="46" t="s">
        <v>8</v>
      </c>
      <c r="F25" s="46" t="s">
        <v>8</v>
      </c>
      <c r="G25" s="46" t="s">
        <v>8</v>
      </c>
      <c r="H25" s="46" t="s">
        <v>8</v>
      </c>
      <c r="I25" s="46" t="s">
        <v>8</v>
      </c>
      <c r="J25" s="46" t="s">
        <v>8</v>
      </c>
      <c r="K25" s="46" t="s">
        <v>8</v>
      </c>
      <c r="L25" s="46" t="s">
        <v>8</v>
      </c>
      <c r="M25" s="46" t="s">
        <v>8</v>
      </c>
      <c r="N25" s="46" t="s">
        <v>8</v>
      </c>
      <c r="O25" s="46" t="s">
        <v>8</v>
      </c>
      <c r="P25" s="46" t="s">
        <v>8</v>
      </c>
      <c r="Q25" s="46" t="s">
        <v>8</v>
      </c>
      <c r="R25" s="46" t="s">
        <v>8</v>
      </c>
      <c r="S25" s="46" t="s">
        <v>8</v>
      </c>
      <c r="T25" s="46" t="s">
        <v>8</v>
      </c>
      <c r="U25" s="46" t="s">
        <v>8</v>
      </c>
      <c r="V25" s="46" t="s">
        <v>8</v>
      </c>
      <c r="W25" s="46" t="s">
        <v>8</v>
      </c>
      <c r="X25" s="46" t="s">
        <v>8</v>
      </c>
      <c r="Y25" s="46" t="s">
        <v>8</v>
      </c>
      <c r="Z25" s="44" t="e">
        <f t="shared" si="0"/>
        <v>#VALUE!</v>
      </c>
      <c r="AA25" s="23" t="e">
        <f t="shared" si="1"/>
        <v>#VALUE!</v>
      </c>
    </row>
    <row r="26" ht="20.1" customHeight="1" spans="1:27" x14ac:dyDescent="0.25">
      <c r="A26" s="25">
        <v>22</v>
      </c>
      <c r="B26" s="47">
        <f>IF('PEDIDO COMERCIAL'!B38="","",'PEDIDO COMERCIAL'!B38)</f>
      </c>
      <c r="C26" s="48">
        <f>IF('PEDIDO COMERCIAL'!C38="","",'PEDIDO COMERCIAL'!C38)</f>
      </c>
      <c r="D26" s="29" t="e">
        <f>IF('PEDIDO COMERCIAL'!G38="","",'PEDIDO COMERCIAL'!G38)</f>
        <v>#VALUE!</v>
      </c>
      <c r="E26" s="49" t="s">
        <v>8</v>
      </c>
      <c r="F26" s="49" t="s">
        <v>8</v>
      </c>
      <c r="G26" s="49" t="s">
        <v>8</v>
      </c>
      <c r="H26" s="49" t="s">
        <v>8</v>
      </c>
      <c r="I26" s="49" t="s">
        <v>8</v>
      </c>
      <c r="J26" s="49" t="s">
        <v>8</v>
      </c>
      <c r="K26" s="49" t="s">
        <v>8</v>
      </c>
      <c r="L26" s="49" t="s">
        <v>8</v>
      </c>
      <c r="M26" s="49" t="s">
        <v>8</v>
      </c>
      <c r="N26" s="49" t="s">
        <v>8</v>
      </c>
      <c r="O26" s="49" t="s">
        <v>8</v>
      </c>
      <c r="P26" s="49" t="s">
        <v>8</v>
      </c>
      <c r="Q26" s="49" t="s">
        <v>8</v>
      </c>
      <c r="R26" s="49" t="s">
        <v>8</v>
      </c>
      <c r="S26" s="49" t="s">
        <v>8</v>
      </c>
      <c r="T26" s="49" t="s">
        <v>8</v>
      </c>
      <c r="U26" s="49" t="s">
        <v>8</v>
      </c>
      <c r="V26" s="49" t="s">
        <v>8</v>
      </c>
      <c r="W26" s="49" t="s">
        <v>8</v>
      </c>
      <c r="X26" s="49" t="s">
        <v>8</v>
      </c>
      <c r="Y26" s="49" t="s">
        <v>8</v>
      </c>
      <c r="Z26" s="47" t="e">
        <f t="shared" si="0"/>
        <v>#VALUE!</v>
      </c>
      <c r="AA26" s="29" t="e">
        <f t="shared" si="1"/>
        <v>#VALUE!</v>
      </c>
    </row>
    <row r="27" ht="20.1" customHeight="1" spans="1:27" x14ac:dyDescent="0.25">
      <c r="A27" s="19">
        <v>23</v>
      </c>
      <c r="B27" s="44">
        <f>IF('PEDIDO COMERCIAL'!B39="","",'PEDIDO COMERCIAL'!B39)</f>
      </c>
      <c r="C27" s="45">
        <f>IF('PEDIDO COMERCIAL'!C39="","",'PEDIDO COMERCIAL'!C39)</f>
      </c>
      <c r="D27" s="23" t="e">
        <f>IF('PEDIDO COMERCIAL'!G39="","",'PEDIDO COMERCIAL'!G39)</f>
        <v>#VALUE!</v>
      </c>
      <c r="E27" s="46" t="s">
        <v>8</v>
      </c>
      <c r="F27" s="46" t="s">
        <v>8</v>
      </c>
      <c r="G27" s="46" t="s">
        <v>8</v>
      </c>
      <c r="H27" s="46" t="s">
        <v>8</v>
      </c>
      <c r="I27" s="46" t="s">
        <v>8</v>
      </c>
      <c r="J27" s="46" t="s">
        <v>8</v>
      </c>
      <c r="K27" s="46" t="s">
        <v>8</v>
      </c>
      <c r="L27" s="46" t="s">
        <v>8</v>
      </c>
      <c r="M27" s="46" t="s">
        <v>8</v>
      </c>
      <c r="N27" s="46" t="s">
        <v>8</v>
      </c>
      <c r="O27" s="46" t="s">
        <v>8</v>
      </c>
      <c r="P27" s="46" t="s">
        <v>8</v>
      </c>
      <c r="Q27" s="46" t="s">
        <v>8</v>
      </c>
      <c r="R27" s="46" t="s">
        <v>8</v>
      </c>
      <c r="S27" s="46" t="s">
        <v>8</v>
      </c>
      <c r="T27" s="46" t="s">
        <v>8</v>
      </c>
      <c r="U27" s="46" t="s">
        <v>8</v>
      </c>
      <c r="V27" s="46" t="s">
        <v>8</v>
      </c>
      <c r="W27" s="46" t="s">
        <v>8</v>
      </c>
      <c r="X27" s="46" t="s">
        <v>8</v>
      </c>
      <c r="Y27" s="46" t="s">
        <v>8</v>
      </c>
      <c r="Z27" s="44" t="e">
        <f t="shared" si="0"/>
        <v>#VALUE!</v>
      </c>
      <c r="AA27" s="23" t="e">
        <f t="shared" si="1"/>
        <v>#VALUE!</v>
      </c>
    </row>
    <row r="28" ht="20.1" customHeight="1" spans="1:27" x14ac:dyDescent="0.25">
      <c r="A28" s="25">
        <v>24</v>
      </c>
      <c r="B28" s="47">
        <f>IF('PEDIDO COMERCIAL'!B40="","",'PEDIDO COMERCIAL'!B40)</f>
      </c>
      <c r="C28" s="48">
        <f>IF('PEDIDO COMERCIAL'!C40="","",'PEDIDO COMERCIAL'!C40)</f>
      </c>
      <c r="D28" s="29" t="e">
        <f>IF('PEDIDO COMERCIAL'!G40="","",'PEDIDO COMERCIAL'!G40)</f>
        <v>#VALUE!</v>
      </c>
      <c r="E28" s="49" t="s">
        <v>8</v>
      </c>
      <c r="F28" s="49" t="s">
        <v>8</v>
      </c>
      <c r="G28" s="49" t="s">
        <v>8</v>
      </c>
      <c r="H28" s="49" t="s">
        <v>8</v>
      </c>
      <c r="I28" s="49" t="s">
        <v>8</v>
      </c>
      <c r="J28" s="49" t="s">
        <v>8</v>
      </c>
      <c r="K28" s="49" t="s">
        <v>8</v>
      </c>
      <c r="L28" s="49" t="s">
        <v>8</v>
      </c>
      <c r="M28" s="49" t="s">
        <v>8</v>
      </c>
      <c r="N28" s="49" t="s">
        <v>8</v>
      </c>
      <c r="O28" s="49" t="s">
        <v>8</v>
      </c>
      <c r="P28" s="49" t="s">
        <v>8</v>
      </c>
      <c r="Q28" s="49" t="s">
        <v>8</v>
      </c>
      <c r="R28" s="49" t="s">
        <v>8</v>
      </c>
      <c r="S28" s="49" t="s">
        <v>8</v>
      </c>
      <c r="T28" s="49" t="s">
        <v>8</v>
      </c>
      <c r="U28" s="49" t="s">
        <v>8</v>
      </c>
      <c r="V28" s="49" t="s">
        <v>8</v>
      </c>
      <c r="W28" s="49" t="s">
        <v>8</v>
      </c>
      <c r="X28" s="49" t="s">
        <v>8</v>
      </c>
      <c r="Y28" s="49" t="s">
        <v>8</v>
      </c>
      <c r="Z28" s="47" t="e">
        <f t="shared" si="0"/>
        <v>#VALUE!</v>
      </c>
      <c r="AA28" s="29" t="e">
        <f t="shared" si="1"/>
        <v>#VALUE!</v>
      </c>
    </row>
    <row r="29" ht="20.1" customHeight="1" spans="1:27" x14ac:dyDescent="0.25">
      <c r="A29" s="19">
        <v>25</v>
      </c>
      <c r="B29" s="44">
        <f>IF('PEDIDO COMERCIAL'!B41="","",'PEDIDO COMERCIAL'!B41)</f>
      </c>
      <c r="C29" s="45">
        <f>IF('PEDIDO COMERCIAL'!C41="","",'PEDIDO COMERCIAL'!C41)</f>
      </c>
      <c r="D29" s="23" t="e">
        <f>IF('PEDIDO COMERCIAL'!G41="","",'PEDIDO COMERCIAL'!G41)</f>
        <v>#VALUE!</v>
      </c>
      <c r="E29" s="46" t="s">
        <v>8</v>
      </c>
      <c r="F29" s="46" t="s">
        <v>8</v>
      </c>
      <c r="G29" s="46" t="s">
        <v>8</v>
      </c>
      <c r="H29" s="46" t="s">
        <v>8</v>
      </c>
      <c r="I29" s="46" t="s">
        <v>8</v>
      </c>
      <c r="J29" s="46" t="s">
        <v>8</v>
      </c>
      <c r="K29" s="46" t="s">
        <v>8</v>
      </c>
      <c r="L29" s="46" t="s">
        <v>8</v>
      </c>
      <c r="M29" s="46" t="s">
        <v>8</v>
      </c>
      <c r="N29" s="46" t="s">
        <v>8</v>
      </c>
      <c r="O29" s="46" t="s">
        <v>8</v>
      </c>
      <c r="P29" s="46" t="s">
        <v>8</v>
      </c>
      <c r="Q29" s="46" t="s">
        <v>8</v>
      </c>
      <c r="R29" s="46" t="s">
        <v>8</v>
      </c>
      <c r="S29" s="46" t="s">
        <v>8</v>
      </c>
      <c r="T29" s="46" t="s">
        <v>8</v>
      </c>
      <c r="U29" s="46" t="s">
        <v>8</v>
      </c>
      <c r="V29" s="46" t="s">
        <v>8</v>
      </c>
      <c r="W29" s="46" t="s">
        <v>8</v>
      </c>
      <c r="X29" s="46" t="s">
        <v>8</v>
      </c>
      <c r="Y29" s="46" t="s">
        <v>8</v>
      </c>
      <c r="Z29" s="44" t="e">
        <f t="shared" si="0"/>
        <v>#VALUE!</v>
      </c>
      <c r="AA29" s="23" t="e">
        <f t="shared" si="1"/>
        <v>#VALUE!</v>
      </c>
    </row>
    <row r="30" ht="20.1" customHeight="1" spans="1:27" x14ac:dyDescent="0.25">
      <c r="A30" s="25">
        <v>26</v>
      </c>
      <c r="B30" s="47">
        <f>IF('PEDIDO COMERCIAL'!B42="","",'PEDIDO COMERCIAL'!B42)</f>
      </c>
      <c r="C30" s="48">
        <f>IF('PEDIDO COMERCIAL'!C42="","",'PEDIDO COMERCIAL'!C42)</f>
      </c>
      <c r="D30" s="29" t="e">
        <f>IF('PEDIDO COMERCIAL'!G42="","",'PEDIDO COMERCIAL'!G42)</f>
        <v>#VALUE!</v>
      </c>
      <c r="E30" s="49" t="s">
        <v>8</v>
      </c>
      <c r="F30" s="49" t="s">
        <v>8</v>
      </c>
      <c r="G30" s="49" t="s">
        <v>8</v>
      </c>
      <c r="H30" s="49" t="s">
        <v>8</v>
      </c>
      <c r="I30" s="49" t="s">
        <v>8</v>
      </c>
      <c r="J30" s="49" t="s">
        <v>8</v>
      </c>
      <c r="K30" s="49" t="s">
        <v>8</v>
      </c>
      <c r="L30" s="49" t="s">
        <v>8</v>
      </c>
      <c r="M30" s="49" t="s">
        <v>8</v>
      </c>
      <c r="N30" s="49" t="s">
        <v>8</v>
      </c>
      <c r="O30" s="49" t="s">
        <v>8</v>
      </c>
      <c r="P30" s="49" t="s">
        <v>8</v>
      </c>
      <c r="Q30" s="49" t="s">
        <v>8</v>
      </c>
      <c r="R30" s="49" t="s">
        <v>8</v>
      </c>
      <c r="S30" s="49" t="s">
        <v>8</v>
      </c>
      <c r="T30" s="49" t="s">
        <v>8</v>
      </c>
      <c r="U30" s="49" t="s">
        <v>8</v>
      </c>
      <c r="V30" s="49" t="s">
        <v>8</v>
      </c>
      <c r="W30" s="49" t="s">
        <v>8</v>
      </c>
      <c r="X30" s="49" t="s">
        <v>8</v>
      </c>
      <c r="Y30" s="49" t="s">
        <v>8</v>
      </c>
      <c r="Z30" s="47" t="e">
        <f t="shared" si="0"/>
        <v>#VALUE!</v>
      </c>
      <c r="AA30" s="29" t="e">
        <f t="shared" si="1"/>
        <v>#VALUE!</v>
      </c>
    </row>
    <row r="31" ht="20.1" customHeight="1" spans="1:27" x14ac:dyDescent="0.25">
      <c r="A31" s="19">
        <v>27</v>
      </c>
      <c r="B31" s="44">
        <f>IF('PEDIDO COMERCIAL'!B43="","",'PEDIDO COMERCIAL'!B43)</f>
      </c>
      <c r="C31" s="45">
        <f>IF('PEDIDO COMERCIAL'!C43="","",'PEDIDO COMERCIAL'!C43)</f>
      </c>
      <c r="D31" s="23" t="e">
        <f>IF('PEDIDO COMERCIAL'!G43="","",'PEDIDO COMERCIAL'!G43)</f>
        <v>#VALUE!</v>
      </c>
      <c r="E31" s="46" t="s">
        <v>8</v>
      </c>
      <c r="F31" s="46" t="s">
        <v>8</v>
      </c>
      <c r="G31" s="46" t="s">
        <v>8</v>
      </c>
      <c r="H31" s="46" t="s">
        <v>8</v>
      </c>
      <c r="I31" s="46" t="s">
        <v>8</v>
      </c>
      <c r="J31" s="46" t="s">
        <v>8</v>
      </c>
      <c r="K31" s="46" t="s">
        <v>8</v>
      </c>
      <c r="L31" s="46" t="s">
        <v>8</v>
      </c>
      <c r="M31" s="46" t="s">
        <v>8</v>
      </c>
      <c r="N31" s="46" t="s">
        <v>8</v>
      </c>
      <c r="O31" s="46" t="s">
        <v>8</v>
      </c>
      <c r="P31" s="46" t="s">
        <v>8</v>
      </c>
      <c r="Q31" s="46" t="s">
        <v>8</v>
      </c>
      <c r="R31" s="46" t="s">
        <v>8</v>
      </c>
      <c r="S31" s="46" t="s">
        <v>8</v>
      </c>
      <c r="T31" s="46" t="s">
        <v>8</v>
      </c>
      <c r="U31" s="46" t="s">
        <v>8</v>
      </c>
      <c r="V31" s="46" t="s">
        <v>8</v>
      </c>
      <c r="W31" s="46" t="s">
        <v>8</v>
      </c>
      <c r="X31" s="46" t="s">
        <v>8</v>
      </c>
      <c r="Y31" s="46" t="s">
        <v>8</v>
      </c>
      <c r="Z31" s="44" t="e">
        <f t="shared" si="0"/>
        <v>#VALUE!</v>
      </c>
      <c r="AA31" s="23" t="e">
        <f t="shared" si="1"/>
        <v>#VALUE!</v>
      </c>
    </row>
    <row r="32" ht="20.1" customHeight="1" spans="1:27" x14ac:dyDescent="0.25">
      <c r="A32" s="25">
        <v>28</v>
      </c>
      <c r="B32" s="47">
        <f>IF('PEDIDO COMERCIAL'!B44="","",'PEDIDO COMERCIAL'!B44)</f>
      </c>
      <c r="C32" s="48">
        <f>IF('PEDIDO COMERCIAL'!C44="","",'PEDIDO COMERCIAL'!C44)</f>
      </c>
      <c r="D32" s="29" t="e">
        <f>IF('PEDIDO COMERCIAL'!G44="","",'PEDIDO COMERCIAL'!G44)</f>
        <v>#VALUE!</v>
      </c>
      <c r="E32" s="49" t="s">
        <v>8</v>
      </c>
      <c r="F32" s="49" t="s">
        <v>8</v>
      </c>
      <c r="G32" s="49" t="s">
        <v>8</v>
      </c>
      <c r="H32" s="49" t="s">
        <v>8</v>
      </c>
      <c r="I32" s="49" t="s">
        <v>8</v>
      </c>
      <c r="J32" s="49" t="s">
        <v>8</v>
      </c>
      <c r="K32" s="49" t="s">
        <v>8</v>
      </c>
      <c r="L32" s="49" t="s">
        <v>8</v>
      </c>
      <c r="M32" s="49" t="s">
        <v>8</v>
      </c>
      <c r="N32" s="49" t="s">
        <v>8</v>
      </c>
      <c r="O32" s="49" t="s">
        <v>8</v>
      </c>
      <c r="P32" s="49" t="s">
        <v>8</v>
      </c>
      <c r="Q32" s="49" t="s">
        <v>8</v>
      </c>
      <c r="R32" s="49" t="s">
        <v>8</v>
      </c>
      <c r="S32" s="49" t="s">
        <v>8</v>
      </c>
      <c r="T32" s="49" t="s">
        <v>8</v>
      </c>
      <c r="U32" s="49" t="s">
        <v>8</v>
      </c>
      <c r="V32" s="49" t="s">
        <v>8</v>
      </c>
      <c r="W32" s="49" t="s">
        <v>8</v>
      </c>
      <c r="X32" s="49" t="s">
        <v>8</v>
      </c>
      <c r="Y32" s="49" t="s">
        <v>8</v>
      </c>
      <c r="Z32" s="47" t="e">
        <f t="shared" si="0"/>
        <v>#VALUE!</v>
      </c>
      <c r="AA32" s="29" t="e">
        <f t="shared" si="1"/>
        <v>#VALUE!</v>
      </c>
    </row>
    <row r="33" ht="20.1" customHeight="1" spans="1:27" x14ac:dyDescent="0.25">
      <c r="A33" s="19">
        <v>29</v>
      </c>
      <c r="B33" s="44">
        <f>IF('PEDIDO COMERCIAL'!B45="","",'PEDIDO COMERCIAL'!B45)</f>
      </c>
      <c r="C33" s="45">
        <f>IF('PEDIDO COMERCIAL'!C45="","",'PEDIDO COMERCIAL'!C45)</f>
      </c>
      <c r="D33" s="23" t="e">
        <f>IF('PEDIDO COMERCIAL'!G45="","",'PEDIDO COMERCIAL'!G45)</f>
        <v>#VALUE!</v>
      </c>
      <c r="E33" s="46" t="s">
        <v>8</v>
      </c>
      <c r="F33" s="46" t="s">
        <v>8</v>
      </c>
      <c r="G33" s="46" t="s">
        <v>8</v>
      </c>
      <c r="H33" s="46" t="s">
        <v>8</v>
      </c>
      <c r="I33" s="46" t="s">
        <v>8</v>
      </c>
      <c r="J33" s="46" t="s">
        <v>8</v>
      </c>
      <c r="K33" s="46" t="s">
        <v>8</v>
      </c>
      <c r="L33" s="46" t="s">
        <v>8</v>
      </c>
      <c r="M33" s="46" t="s">
        <v>8</v>
      </c>
      <c r="N33" s="46" t="s">
        <v>8</v>
      </c>
      <c r="O33" s="46" t="s">
        <v>8</v>
      </c>
      <c r="P33" s="46" t="s">
        <v>8</v>
      </c>
      <c r="Q33" s="46" t="s">
        <v>8</v>
      </c>
      <c r="R33" s="46" t="s">
        <v>8</v>
      </c>
      <c r="S33" s="46" t="s">
        <v>8</v>
      </c>
      <c r="T33" s="46" t="s">
        <v>8</v>
      </c>
      <c r="U33" s="46" t="s">
        <v>8</v>
      </c>
      <c r="V33" s="46" t="s">
        <v>8</v>
      </c>
      <c r="W33" s="46" t="s">
        <v>8</v>
      </c>
      <c r="X33" s="46" t="s">
        <v>8</v>
      </c>
      <c r="Y33" s="46" t="s">
        <v>8</v>
      </c>
      <c r="Z33" s="44" t="e">
        <f t="shared" si="0"/>
        <v>#VALUE!</v>
      </c>
      <c r="AA33" s="23" t="e">
        <f t="shared" si="1"/>
        <v>#VALUE!</v>
      </c>
    </row>
    <row r="34" ht="20.1" customHeight="1" spans="1:27" x14ac:dyDescent="0.25">
      <c r="A34" s="25">
        <v>30</v>
      </c>
      <c r="B34" s="47">
        <f>IF('PEDIDO COMERCIAL'!B46="","",'PEDIDO COMERCIAL'!B46)</f>
      </c>
      <c r="C34" s="48">
        <f>IF('PEDIDO COMERCIAL'!C46="","",'PEDIDO COMERCIAL'!C46)</f>
      </c>
      <c r="D34" s="29" t="e">
        <f>IF('PEDIDO COMERCIAL'!G46="","",'PEDIDO COMERCIAL'!G46)</f>
        <v>#VALUE!</v>
      </c>
      <c r="E34" s="49" t="s">
        <v>8</v>
      </c>
      <c r="F34" s="49" t="s">
        <v>8</v>
      </c>
      <c r="G34" s="49" t="s">
        <v>8</v>
      </c>
      <c r="H34" s="49" t="s">
        <v>8</v>
      </c>
      <c r="I34" s="49" t="s">
        <v>8</v>
      </c>
      <c r="J34" s="49" t="s">
        <v>8</v>
      </c>
      <c r="K34" s="49" t="s">
        <v>8</v>
      </c>
      <c r="L34" s="49" t="s">
        <v>8</v>
      </c>
      <c r="M34" s="49" t="s">
        <v>8</v>
      </c>
      <c r="N34" s="49" t="s">
        <v>8</v>
      </c>
      <c r="O34" s="49" t="s">
        <v>8</v>
      </c>
      <c r="P34" s="49" t="s">
        <v>8</v>
      </c>
      <c r="Q34" s="49" t="s">
        <v>8</v>
      </c>
      <c r="R34" s="49" t="s">
        <v>8</v>
      </c>
      <c r="S34" s="49" t="s">
        <v>8</v>
      </c>
      <c r="T34" s="49" t="s">
        <v>8</v>
      </c>
      <c r="U34" s="49" t="s">
        <v>8</v>
      </c>
      <c r="V34" s="49" t="s">
        <v>8</v>
      </c>
      <c r="W34" s="49" t="s">
        <v>8</v>
      </c>
      <c r="X34" s="49" t="s">
        <v>8</v>
      </c>
      <c r="Y34" s="49" t="s">
        <v>8</v>
      </c>
      <c r="Z34" s="47" t="e">
        <f t="shared" si="0"/>
        <v>#VALUE!</v>
      </c>
      <c r="AA34" s="29" t="e">
        <f t="shared" si="1"/>
        <v>#VALUE!</v>
      </c>
    </row>
    <row r="35" ht="24" customHeight="1" spans="1:27" x14ac:dyDescent="0.25">
      <c r="A35" s="50" t="s">
        <v>78</v>
      </c>
      <c r="B35" s="50"/>
      <c r="C35" s="50"/>
      <c r="D35" s="51" t="e">
        <f t="shared" ref="D35:Z35" si="2">SUM(D5:D34)</f>
        <v>#VALUE!</v>
      </c>
      <c r="E35" s="52">
        <f t="shared" si="2"/>
        <v>0</v>
      </c>
      <c r="F35" s="52">
        <f t="shared" si="2"/>
        <v>0</v>
      </c>
      <c r="G35" s="52">
        <f t="shared" si="2"/>
        <v>0</v>
      </c>
      <c r="H35" s="52">
        <f t="shared" si="2"/>
        <v>0</v>
      </c>
      <c r="I35" s="52">
        <f t="shared" si="2"/>
        <v>0</v>
      </c>
      <c r="J35" s="52">
        <f t="shared" si="2"/>
        <v>0</v>
      </c>
      <c r="K35" s="52">
        <f t="shared" si="2"/>
        <v>0</v>
      </c>
      <c r="L35" s="52">
        <f t="shared" si="2"/>
        <v>0</v>
      </c>
      <c r="M35" s="52">
        <f t="shared" si="2"/>
        <v>0</v>
      </c>
      <c r="N35" s="52">
        <f t="shared" si="2"/>
        <v>0</v>
      </c>
      <c r="O35" s="52">
        <f t="shared" si="2"/>
        <v>0</v>
      </c>
      <c r="P35" s="52">
        <f t="shared" si="2"/>
        <v>0</v>
      </c>
      <c r="Q35" s="52">
        <f t="shared" si="2"/>
        <v>0</v>
      </c>
      <c r="R35" s="52">
        <f t="shared" si="2"/>
        <v>0</v>
      </c>
      <c r="S35" s="52">
        <f t="shared" si="2"/>
        <v>0</v>
      </c>
      <c r="T35" s="52">
        <f t="shared" si="2"/>
        <v>0</v>
      </c>
      <c r="U35" s="52">
        <f t="shared" si="2"/>
        <v>0</v>
      </c>
      <c r="V35" s="52">
        <f t="shared" si="2"/>
        <v>0</v>
      </c>
      <c r="W35" s="52">
        <f t="shared" si="2"/>
        <v>0</v>
      </c>
      <c r="X35" s="52">
        <f t="shared" si="2"/>
        <v>0</v>
      </c>
      <c r="Y35" s="52">
        <f t="shared" si="2"/>
        <v>0</v>
      </c>
      <c r="Z35" s="52" t="e">
        <f t="shared" si="2"/>
        <v>#VALUE!</v>
      </c>
      <c r="AA35" s="51" t="e">
        <f>IF(D35=0,"",IF(Z35=D35,"OK (100%)","DIVERGENTE"))</f>
        <v>#VALUE!</v>
      </c>
    </row>
  </sheetData>
  <mergeCells count="8">
    <mergeCell ref="A1:AA1"/>
    <mergeCell ref="A2:AA2"/>
    <mergeCell ref="A3:D3"/>
    <mergeCell ref="F3:M3"/>
    <mergeCell ref="N3:U3"/>
    <mergeCell ref="V3:Y3"/>
    <mergeCell ref="Z3:AA3"/>
    <mergeCell ref="A35:C3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 zoomScale="100" zoomScaleNormal="100"/>
  </sheetViews>
  <sheetFormatPr defaultRowHeight="15" outlineLevelRow="0" outlineLevelCol="0" x14ac:dyDescent="0.25"/>
  <cols>
    <col min="1" max="1" width="5" customWidth="1"/>
    <col min="2" max="2" width="28" customWidth="1"/>
    <col min="3" max="3" width="14" customWidth="1"/>
    <col min="4" max="4" width="16" customWidth="1"/>
    <col min="5" max="5" width="65" customWidth="1"/>
  </cols>
  <sheetData>
    <row r="2" ht="24" customHeight="1" spans="2:5" x14ac:dyDescent="0.25">
      <c r="B2" s="37" t="s">
        <v>79</v>
      </c>
      <c r="C2" s="37"/>
      <c r="D2" s="37"/>
      <c r="E2" s="37"/>
    </row>
    <row r="3" ht="18" customHeight="1" spans="2:5" x14ac:dyDescent="0.25">
      <c r="B3" s="38" t="s">
        <v>80</v>
      </c>
      <c r="C3" s="38"/>
      <c r="D3" s="38"/>
      <c r="E3" s="38"/>
    </row>
    <row r="5" ht="21.95" customHeight="1" spans="2:5" x14ac:dyDescent="0.25">
      <c r="B5" s="41" t="s">
        <v>81</v>
      </c>
      <c r="C5" s="41" t="s">
        <v>82</v>
      </c>
      <c r="D5" s="41" t="s">
        <v>83</v>
      </c>
      <c r="E5" s="41" t="s">
        <v>84</v>
      </c>
    </row>
    <row r="6" ht="20.1" customHeight="1" spans="2:5" x14ac:dyDescent="0.25">
      <c r="B6" s="53" t="s">
        <v>85</v>
      </c>
      <c r="C6" s="23" t="s">
        <v>86</v>
      </c>
      <c r="D6" s="22" t="s">
        <v>87</v>
      </c>
      <c r="E6" s="54" t="s">
        <v>88</v>
      </c>
    </row>
    <row r="7" ht="20.1" customHeight="1" spans="2:5" x14ac:dyDescent="0.25">
      <c r="B7" s="55" t="s">
        <v>89</v>
      </c>
      <c r="C7" s="56" t="s">
        <v>90</v>
      </c>
      <c r="D7" s="28" t="s">
        <v>91</v>
      </c>
      <c r="E7" s="57" t="s">
        <v>92</v>
      </c>
    </row>
    <row r="8" ht="20.1" customHeight="1" spans="2:5" x14ac:dyDescent="0.25">
      <c r="B8" s="53" t="s">
        <v>93</v>
      </c>
      <c r="C8" s="58" t="s">
        <v>90</v>
      </c>
      <c r="D8" s="22" t="s">
        <v>94</v>
      </c>
      <c r="E8" s="54" t="s">
        <v>95</v>
      </c>
    </row>
    <row r="9" ht="20.1" customHeight="1" spans="2:5" x14ac:dyDescent="0.25">
      <c r="B9" s="55" t="s">
        <v>96</v>
      </c>
      <c r="C9" s="29" t="s">
        <v>86</v>
      </c>
      <c r="D9" s="28" t="s">
        <v>97</v>
      </c>
      <c r="E9" s="57" t="s">
        <v>98</v>
      </c>
    </row>
    <row r="10" ht="20.1" customHeight="1" spans="2:5" x14ac:dyDescent="0.25">
      <c r="B10" s="53" t="s">
        <v>99</v>
      </c>
      <c r="C10" s="23" t="s">
        <v>86</v>
      </c>
      <c r="D10" s="22" t="s">
        <v>100</v>
      </c>
      <c r="E10" s="54" t="s">
        <v>101</v>
      </c>
    </row>
    <row r="11" ht="20.1" customHeight="1" spans="2:5" x14ac:dyDescent="0.25">
      <c r="B11" s="55" t="s">
        <v>102</v>
      </c>
      <c r="C11" s="56" t="s">
        <v>103</v>
      </c>
      <c r="D11" s="28" t="s">
        <v>104</v>
      </c>
      <c r="E11" s="57" t="s">
        <v>105</v>
      </c>
    </row>
    <row r="12" ht="20.1" customHeight="1" spans="2:5" x14ac:dyDescent="0.25">
      <c r="B12" s="53" t="s">
        <v>31</v>
      </c>
      <c r="C12" s="23" t="s">
        <v>86</v>
      </c>
      <c r="D12" s="22" t="s">
        <v>106</v>
      </c>
      <c r="E12" s="54" t="s">
        <v>107</v>
      </c>
    </row>
    <row r="13" ht="20.1" customHeight="1" spans="2:5" x14ac:dyDescent="0.25">
      <c r="B13" s="55" t="s">
        <v>32</v>
      </c>
      <c r="C13" s="29" t="s">
        <v>86</v>
      </c>
      <c r="D13" s="28" t="s">
        <v>108</v>
      </c>
      <c r="E13" s="57" t="s">
        <v>109</v>
      </c>
    </row>
    <row r="14" ht="20.1" customHeight="1" spans="2:5" x14ac:dyDescent="0.25">
      <c r="B14" s="53" t="s">
        <v>33</v>
      </c>
      <c r="C14" s="23" t="s">
        <v>86</v>
      </c>
      <c r="D14" s="22" t="s">
        <v>110</v>
      </c>
      <c r="E14" s="54" t="s">
        <v>111</v>
      </c>
    </row>
    <row r="15" ht="20.1" customHeight="1" spans="2:5" x14ac:dyDescent="0.25">
      <c r="B15" s="55" t="s">
        <v>112</v>
      </c>
      <c r="C15" s="29" t="s">
        <v>86</v>
      </c>
      <c r="D15" s="28" t="s">
        <v>113</v>
      </c>
      <c r="E15" s="57" t="s">
        <v>114</v>
      </c>
    </row>
    <row r="16" ht="20.1" customHeight="1" spans="2:5" x14ac:dyDescent="0.25">
      <c r="B16" s="53" t="s">
        <v>115</v>
      </c>
      <c r="C16" s="23" t="s">
        <v>86</v>
      </c>
      <c r="D16" s="22" t="s">
        <v>113</v>
      </c>
      <c r="E16" s="54" t="s">
        <v>116</v>
      </c>
    </row>
    <row r="17" ht="20.1" customHeight="1" spans="2:5" x14ac:dyDescent="0.25">
      <c r="B17" s="55" t="s">
        <v>36</v>
      </c>
      <c r="C17" s="59" t="s">
        <v>117</v>
      </c>
      <c r="D17" s="28" t="s">
        <v>118</v>
      </c>
      <c r="E17" s="57" t="s">
        <v>119</v>
      </c>
    </row>
    <row r="18" ht="20.1" customHeight="1" spans="2:5" x14ac:dyDescent="0.25">
      <c r="B18" s="53" t="s">
        <v>37</v>
      </c>
      <c r="C18" s="23" t="s">
        <v>86</v>
      </c>
      <c r="D18" s="22" t="s">
        <v>120</v>
      </c>
      <c r="E18" s="54" t="s">
        <v>121</v>
      </c>
    </row>
    <row r="19" ht="20.1" customHeight="1" spans="2:5" x14ac:dyDescent="0.25">
      <c r="B19" s="55" t="s">
        <v>122</v>
      </c>
      <c r="C19" s="56" t="s">
        <v>103</v>
      </c>
      <c r="D19" s="28" t="s">
        <v>123</v>
      </c>
      <c r="E19" s="57" t="s">
        <v>124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 zoomScale="100" zoomScaleNormal="100"/>
  </sheetViews>
  <sheetFormatPr defaultRowHeight="15" outlineLevelRow="0" outlineLevelCol="0" x14ac:dyDescent="0.25"/>
  <cols>
    <col min="1" max="1" width="5" customWidth="1"/>
    <col min="2" max="2" width="30" customWidth="1"/>
    <col min="3" max="3" width="14" customWidth="1"/>
    <col min="4" max="4" width="60" customWidth="1"/>
  </cols>
  <sheetData>
    <row r="2" ht="24" customHeight="1" spans="2:4" x14ac:dyDescent="0.25">
      <c r="B2" s="37" t="s">
        <v>125</v>
      </c>
      <c r="C2" s="37"/>
      <c r="D2" s="37"/>
    </row>
    <row r="4" ht="21.95" customHeight="1" spans="2:4" x14ac:dyDescent="0.25">
      <c r="B4" s="41" t="s">
        <v>126</v>
      </c>
      <c r="C4" s="41" t="s">
        <v>127</v>
      </c>
      <c r="D4" s="41" t="s">
        <v>128</v>
      </c>
    </row>
    <row r="5" ht="20.1" customHeight="1" spans="2:4" x14ac:dyDescent="0.25">
      <c r="B5" s="53" t="s">
        <v>129</v>
      </c>
      <c r="C5" s="23" t="s">
        <v>130</v>
      </c>
      <c r="D5" s="54" t="s">
        <v>131</v>
      </c>
    </row>
    <row r="6" ht="20.1" customHeight="1" spans="2:4" x14ac:dyDescent="0.25">
      <c r="B6" s="55" t="s">
        <v>132</v>
      </c>
      <c r="C6" s="29" t="s">
        <v>133</v>
      </c>
      <c r="D6" s="57" t="s">
        <v>134</v>
      </c>
    </row>
    <row r="7" ht="20.1" customHeight="1" spans="2:4" x14ac:dyDescent="0.25">
      <c r="B7" s="53" t="s">
        <v>135</v>
      </c>
      <c r="C7" s="23" t="s">
        <v>136</v>
      </c>
      <c r="D7" s="54" t="s">
        <v>137</v>
      </c>
    </row>
    <row r="8" ht="20.1" customHeight="1" spans="2:4" x14ac:dyDescent="0.25">
      <c r="B8" s="55" t="s">
        <v>138</v>
      </c>
      <c r="C8" s="29" t="s">
        <v>139</v>
      </c>
      <c r="D8" s="57" t="s">
        <v>140</v>
      </c>
    </row>
    <row r="9" ht="20.1" customHeight="1" spans="2:4" x14ac:dyDescent="0.25">
      <c r="B9" s="53" t="s">
        <v>141</v>
      </c>
      <c r="C9" s="23" t="s">
        <v>142</v>
      </c>
      <c r="D9" s="54" t="s">
        <v>143</v>
      </c>
    </row>
    <row r="10" ht="20.1" customHeight="1" spans="2:4" x14ac:dyDescent="0.25">
      <c r="B10" s="55" t="s">
        <v>144</v>
      </c>
      <c r="C10" s="29" t="s">
        <v>142</v>
      </c>
      <c r="D10" s="57" t="s">
        <v>145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PEDIDO COMERCIAL</vt:lpstr>
      <vt:lpstr>SEPARACAO POR LOJA</vt:lpstr>
      <vt:lpstr>INSTRUCOES DE PREENCHIMENTO</vt:lpstr>
      <vt:lpstr>PARAMETROS FISCAIS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2026-09-15T13:11:18Z</dcterms:created>
  <dcterms:modified xsi:type="dcterms:W3CDTF">2026-09-28T22:27:52Z</dcterms:modified>
</cp:coreProperties>
</file>